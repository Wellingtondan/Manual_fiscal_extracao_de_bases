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updateLinks="never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F:\Copias_Seguranca\(9) EMPRESAS\Grupo Tannous\01. RETA\01. FISCAL\05. EFD CONTRIBUIÇOES\2024\112024\"/>
    </mc:Choice>
  </mc:AlternateContent>
  <xr:revisionPtr revIDLastSave="0" documentId="13_ncr:1_{1F011C30-2675-4371-8DEE-154FB6CA6716}" xr6:coauthVersionLast="47" xr6:coauthVersionMax="47" xr10:uidLastSave="{00000000-0000-0000-0000-000000000000}"/>
  <bookViews>
    <workbookView xWindow="-120" yWindow="-120" windowWidth="20730" windowHeight="11310" tabRatio="761" xr2:uid="{00000000-000D-0000-FFFF-FFFF00000000}"/>
  </bookViews>
  <sheets>
    <sheet name="APURAÇÃO PIS E COFINS" sheetId="35" r:id="rId1"/>
    <sheet name="Plan1" sheetId="31" state="hidden" r:id="rId2"/>
  </sheets>
  <functionGroups builtInGroupCount="19"/>
  <definedNames>
    <definedName name="Valor_contabil">#REF!</definedName>
  </definedNames>
  <calcPr calcId="191029"/>
  <customWorkbookViews>
    <customWorkbookView name="Fisca5 - Modo de exibição pessoal" guid="{D5841425-9E11-4536-AD10-73D6186D1FE8}" mergeInterval="0" personalView="1" maximized="1" xWindow="1" yWindow="1" windowWidth="1596" windowHeight="628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8" i="35" l="1"/>
  <c r="N59" i="35"/>
  <c r="N60" i="35"/>
  <c r="N61" i="35"/>
  <c r="N62" i="35"/>
  <c r="N57" i="35"/>
  <c r="N26" i="35"/>
  <c r="N27" i="35"/>
  <c r="N28" i="35"/>
  <c r="N29" i="35"/>
  <c r="N25" i="35"/>
  <c r="N19" i="35"/>
  <c r="N13" i="35"/>
  <c r="N14" i="35"/>
  <c r="N15" i="35"/>
  <c r="N16" i="35"/>
  <c r="N17" i="35"/>
  <c r="N18" i="35"/>
  <c r="N12" i="35"/>
  <c r="N9" i="35"/>
  <c r="C20" i="35"/>
  <c r="D20" i="35"/>
  <c r="E20" i="35"/>
  <c r="F20" i="35"/>
  <c r="G20" i="35"/>
  <c r="H20" i="35"/>
  <c r="I20" i="35"/>
  <c r="J20" i="35"/>
  <c r="K20" i="35"/>
  <c r="L20" i="35"/>
  <c r="M20" i="35"/>
  <c r="B20" i="35"/>
  <c r="J75" i="35"/>
  <c r="N63" i="35" l="1"/>
  <c r="N20" i="35"/>
  <c r="F9" i="35"/>
  <c r="C75" i="35"/>
  <c r="N4" i="35"/>
  <c r="H9" i="35"/>
  <c r="B39" i="35"/>
  <c r="C39" i="35"/>
  <c r="D39" i="35"/>
  <c r="E39" i="35"/>
  <c r="F39" i="35"/>
  <c r="G39" i="35"/>
  <c r="H39" i="35"/>
  <c r="I39" i="35"/>
  <c r="J39" i="35"/>
  <c r="K39" i="35"/>
  <c r="L39" i="35"/>
  <c r="M39" i="35"/>
  <c r="B40" i="35"/>
  <c r="C40" i="35"/>
  <c r="D40" i="35"/>
  <c r="E40" i="35"/>
  <c r="F40" i="35"/>
  <c r="G40" i="35"/>
  <c r="H40" i="35"/>
  <c r="I40" i="35"/>
  <c r="J40" i="35"/>
  <c r="K40" i="35"/>
  <c r="L40" i="35"/>
  <c r="M40" i="35"/>
  <c r="B41" i="35"/>
  <c r="C41" i="35"/>
  <c r="D41" i="35"/>
  <c r="E41" i="35"/>
  <c r="F41" i="35"/>
  <c r="G41" i="35"/>
  <c r="H41" i="35"/>
  <c r="I41" i="35"/>
  <c r="J41" i="35"/>
  <c r="K41" i="35"/>
  <c r="L41" i="35"/>
  <c r="M41" i="35"/>
  <c r="B42" i="35"/>
  <c r="C42" i="35"/>
  <c r="D42" i="35"/>
  <c r="E42" i="35"/>
  <c r="F42" i="35"/>
  <c r="G42" i="35"/>
  <c r="H42" i="35"/>
  <c r="I42" i="35"/>
  <c r="J42" i="35"/>
  <c r="K42" i="35"/>
  <c r="L42" i="35"/>
  <c r="M42" i="35"/>
  <c r="N113" i="35"/>
  <c r="M113" i="35"/>
  <c r="N105" i="35"/>
  <c r="M105" i="35"/>
  <c r="M83" i="35"/>
  <c r="L83" i="35"/>
  <c r="K83" i="35"/>
  <c r="J83" i="35"/>
  <c r="I83" i="35"/>
  <c r="H83" i="35"/>
  <c r="G83" i="35"/>
  <c r="F83" i="35"/>
  <c r="E83" i="35"/>
  <c r="D83" i="35"/>
  <c r="C83" i="35"/>
  <c r="B83" i="35"/>
  <c r="N79" i="35"/>
  <c r="N78" i="35"/>
  <c r="M75" i="35"/>
  <c r="L75" i="35"/>
  <c r="K75" i="35"/>
  <c r="I75" i="35"/>
  <c r="H75" i="35"/>
  <c r="G75" i="35"/>
  <c r="F75" i="35"/>
  <c r="E75" i="35"/>
  <c r="D75" i="35"/>
  <c r="B75" i="35"/>
  <c r="N73" i="35"/>
  <c r="N72" i="35"/>
  <c r="N71" i="35"/>
  <c r="N70" i="35"/>
  <c r="N69" i="35"/>
  <c r="N68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M9" i="35"/>
  <c r="L9" i="35"/>
  <c r="K9" i="35"/>
  <c r="J9" i="35"/>
  <c r="I9" i="35"/>
  <c r="G9" i="35"/>
  <c r="E9" i="35"/>
  <c r="D9" i="35"/>
  <c r="C9" i="35"/>
  <c r="B9" i="35"/>
  <c r="N8" i="35"/>
  <c r="N7" i="35"/>
  <c r="N6" i="35"/>
  <c r="N5" i="35"/>
  <c r="N22" i="35" l="1"/>
  <c r="N74" i="35"/>
  <c r="N75" i="35" s="1"/>
  <c r="N80" i="35"/>
  <c r="N64" i="35"/>
  <c r="N85" i="35" s="1"/>
  <c r="N30" i="35"/>
  <c r="N49" i="35" s="1"/>
  <c r="N39" i="35"/>
  <c r="N40" i="35"/>
  <c r="N41" i="35"/>
  <c r="N42" i="35"/>
  <c r="N33" i="35"/>
  <c r="N82" i="35" l="1"/>
  <c r="N94" i="35" s="1"/>
  <c r="O94" i="35" s="1"/>
  <c r="N81" i="35"/>
  <c r="N93" i="35" s="1"/>
  <c r="O93" i="35" s="1"/>
  <c r="N65" i="35"/>
  <c r="N86" i="35" s="1"/>
  <c r="N31" i="35"/>
  <c r="N50" i="35" s="1"/>
  <c r="N35" i="35"/>
  <c r="N44" i="35" s="1"/>
  <c r="N32" i="35"/>
  <c r="N51" i="35" s="1"/>
  <c r="N21" i="35"/>
  <c r="N34" i="35"/>
  <c r="N43" i="35"/>
  <c r="N98" i="35" l="1"/>
  <c r="M104" i="35" s="1"/>
  <c r="N99" i="35"/>
  <c r="N104" i="35" s="1"/>
  <c r="N95" i="35"/>
  <c r="N87" i="35"/>
  <c r="N36" i="35"/>
  <c r="N45" i="35" l="1"/>
  <c r="N47" i="35" s="1"/>
  <c r="N54" i="35" s="1"/>
  <c r="N103" i="35" s="1"/>
  <c r="N106" i="35" s="1"/>
  <c r="N118" i="35" s="1"/>
  <c r="N46" i="35" l="1"/>
  <c r="N53" i="35" s="1"/>
  <c r="M103" i="35" s="1"/>
  <c r="M106" i="35" s="1"/>
  <c r="M118" i="35" s="1"/>
  <c r="B15" i="31"/>
  <c r="B14" i="31"/>
  <c r="B13" i="31"/>
  <c r="B12" i="31"/>
  <c r="B11" i="31"/>
  <c r="B10" i="31"/>
  <c r="B9" i="31"/>
  <c r="B7" i="31"/>
  <c r="B6" i="31"/>
  <c r="B5" i="31"/>
  <c r="B4" i="31"/>
  <c r="B3" i="31"/>
  <c r="B2" i="31" l="1"/>
  <c r="B8" i="31"/>
</calcChain>
</file>

<file path=xl/sharedStrings.xml><?xml version="1.0" encoding="utf-8"?>
<sst xmlns="http://schemas.openxmlformats.org/spreadsheetml/2006/main" count="210" uniqueCount="114">
  <si>
    <t>Diferença</t>
  </si>
  <si>
    <t>CST 50</t>
  </si>
  <si>
    <t>CST 70</t>
  </si>
  <si>
    <t>CST 71</t>
  </si>
  <si>
    <t>CST 72</t>
  </si>
  <si>
    <t>CST 73</t>
  </si>
  <si>
    <t>CST 74</t>
  </si>
  <si>
    <t>CST 75</t>
  </si>
  <si>
    <t>CST 98</t>
  </si>
  <si>
    <t>CST 01</t>
  </si>
  <si>
    <t>CST 04</t>
  </si>
  <si>
    <t>CST 05</t>
  </si>
  <si>
    <t>CST 06</t>
  </si>
  <si>
    <t>CST 09</t>
  </si>
  <si>
    <t>CST 99</t>
  </si>
  <si>
    <t>Situação Tributária</t>
  </si>
  <si>
    <t>Valor</t>
  </si>
  <si>
    <t>TOTAL</t>
  </si>
  <si>
    <t>APURAÇAO PIS E COFINS NAO CUMULATIVO | RETA ALIMENTOS LTDA</t>
  </si>
  <si>
    <t>APURAÇAO DO DEBITO</t>
  </si>
  <si>
    <t>LOJA 01</t>
  </si>
  <si>
    <t>LOJA 02</t>
  </si>
  <si>
    <t>LOJA 03</t>
  </si>
  <si>
    <t>LOJA 04</t>
  </si>
  <si>
    <t>LOJA 06</t>
  </si>
  <si>
    <t>LOJA 07</t>
  </si>
  <si>
    <t>LOJA 08</t>
  </si>
  <si>
    <t>LOJA 09</t>
  </si>
  <si>
    <t>LOJA 10</t>
  </si>
  <si>
    <t>LOJA 11</t>
  </si>
  <si>
    <t>Operação Tributável com alíquota básica | CST 01</t>
  </si>
  <si>
    <t>Operação Tributável Monofásica - Ver. aliq. Zero | CST 04</t>
  </si>
  <si>
    <t xml:space="preserve"> Receita de Vendas de Cigarros | CST 05</t>
  </si>
  <si>
    <t>Operação tributábel a aliquota zero | CST 06</t>
  </si>
  <si>
    <t>Operação com suspensão da contribuição | CST 09</t>
  </si>
  <si>
    <t xml:space="preserve"> SUB TOTAL RECEITAS DE VENDAS</t>
  </si>
  <si>
    <t>DEMAIS RECEITAS OPERACIONAIS E FINANCEIRAS | CST 01</t>
  </si>
  <si>
    <t>LOJA 05</t>
  </si>
  <si>
    <t>Receita recarga de celular - 40103020004</t>
  </si>
  <si>
    <t>Outras receitas operacionais - 40103020005</t>
  </si>
  <si>
    <t>Receitas de aluguel - 40301020001</t>
  </si>
  <si>
    <t>Receitas comissao corresp.bancario - 40301020005</t>
  </si>
  <si>
    <t>Receitas arrendamento comercial - 40301020007</t>
  </si>
  <si>
    <t>TOTAL DA RECEITAS OPERACIONAIS PIS (1,65%)</t>
  </si>
  <si>
    <t>TOTAL DA RECEITAS OPERACIONAIS COFINS (7,60%)</t>
  </si>
  <si>
    <t xml:space="preserve"> RECEITAS FINANCEIRAS | CST 02</t>
  </si>
  <si>
    <t>Descontos Obtidos - 40301010001</t>
  </si>
  <si>
    <t>Rend. Aplicação Financeira - 40301010002</t>
  </si>
  <si>
    <t>Juros Mora Recebido - 40301010003</t>
  </si>
  <si>
    <t>Outras Receitas Financeiras - 40301010004</t>
  </si>
  <si>
    <t>Receita de Juros Selic - 40301010005</t>
  </si>
  <si>
    <t>TOTAL DA RECEITAS OPERACIONAIS PIS (0,65%)</t>
  </si>
  <si>
    <t>TOTAL DA RECEITAS OPERACIONAIS COFINS (4,00%)</t>
  </si>
  <si>
    <t>RECEITAS DE VENDAS</t>
  </si>
  <si>
    <t>RECEITAS OPERACIONAIS E FINANCEIRAS</t>
  </si>
  <si>
    <t>RECEITAS FINANCEIRAS (DIFERENCIADAS)</t>
  </si>
  <si>
    <t>TOTAL DA RECEITA BRUTA</t>
  </si>
  <si>
    <t xml:space="preserve"> (-) EXCLUSÕES</t>
  </si>
  <si>
    <t>Receita de Vendas Prods.Aliq.Zero-Monofásicos | CST 04</t>
  </si>
  <si>
    <t>Receita de Vendas de Cigarros | CST 05</t>
  </si>
  <si>
    <t>Receita de Vendas Prods.Aliq.Zero / Isentas | CST 06</t>
  </si>
  <si>
    <t>Receita de Vendas Operação com suspensão da contr | CST 09</t>
  </si>
  <si>
    <t>TOTAL DA EXCLUSÕES</t>
  </si>
  <si>
    <t xml:space="preserve">( - ) RECEITAS FINANCEIRAS DIFERENCIADAS </t>
  </si>
  <si>
    <t>BASE DE CALCULO COM AS EXCLUSÕES COM CST 01</t>
  </si>
  <si>
    <t>DÉBITO PIS COM ALIQUOTA 1,65%</t>
  </si>
  <si>
    <t>DÉBITO COFINS COM ALIQUOTA 7,60%</t>
  </si>
  <si>
    <t>BASE DE CÁLCULO REC. FINANCEIRAS COM CST 02</t>
  </si>
  <si>
    <t>DÉBITO PIS 0,65%</t>
  </si>
  <si>
    <t>DÉBITO COFINS 4,00%</t>
  </si>
  <si>
    <t>RESULTADO DOS DÉBITOS PELAS SAIDAS</t>
  </si>
  <si>
    <t>DÉBITO DO PIS</t>
  </si>
  <si>
    <t>DÉBITO DO COFINS</t>
  </si>
  <si>
    <t>APURAÇÃO DO CRÉDITO</t>
  </si>
  <si>
    <t>Compra mercadoria para revenda | CST 50</t>
  </si>
  <si>
    <t>Energia Elétrica | CST 53</t>
  </si>
  <si>
    <t>Aluguel | CST 50</t>
  </si>
  <si>
    <t>Locação | CST 50</t>
  </si>
  <si>
    <t>Leasing | CST 50</t>
  </si>
  <si>
    <t>Amortização | CST 50</t>
  </si>
  <si>
    <t>BASE DE CÁLCULO DOS CRÉDITOS</t>
  </si>
  <si>
    <t>CRÉDITO DO PIS 1,65%</t>
  </si>
  <si>
    <t>CRÉDITO DA COFINS 7,60%</t>
  </si>
  <si>
    <t>TOTAL CRÉDITO</t>
  </si>
  <si>
    <t>ESTORNO DE CRÉDITO - AJUSTES</t>
  </si>
  <si>
    <t>BAIXAS DE ESTOQUE</t>
  </si>
  <si>
    <t>DEVOLUÇÃO À FORNECEDORES</t>
  </si>
  <si>
    <t xml:space="preserve">TOTAL </t>
  </si>
  <si>
    <t>RESULTADO DOS CRÉDITOS PELAS ENTRADAS</t>
  </si>
  <si>
    <t>PIS SOBRE AS ENTRADAS</t>
  </si>
  <si>
    <t>COFINS SOBRE AS ENTRADAS</t>
  </si>
  <si>
    <t>TOTAL 01</t>
  </si>
  <si>
    <t xml:space="preserve">SALDO CREDOR DE PERIODO ANTERIOR </t>
  </si>
  <si>
    <t>( - ) PIS SALDO CREDOR</t>
  </si>
  <si>
    <t>( - ) COFINS SALDO CREDOR</t>
  </si>
  <si>
    <t>( - ) PIS DEVOLUÇÕES A FORNECEDORES</t>
  </si>
  <si>
    <t>( - ) COFINS DEVOLUÇÕES A FORNECEDORES</t>
  </si>
  <si>
    <t>TOTAL 02</t>
  </si>
  <si>
    <t>RESULTADO FINAL CRÉDITOS</t>
  </si>
  <si>
    <t>PIS</t>
  </si>
  <si>
    <t>COFINS</t>
  </si>
  <si>
    <t>RESULTADO DO PIS E COFINS A RECOLHER</t>
  </si>
  <si>
    <t>( + ) DÉBITO</t>
  </si>
  <si>
    <t>( - ) CRÉDITO</t>
  </si>
  <si>
    <t>( - ) SALDO CREDOR DO MÊS ANTERIOR</t>
  </si>
  <si>
    <t>VALORES A RECOLHER</t>
  </si>
  <si>
    <t>RESULTADO DO PIS E COFINS A RECOLHER (C5)</t>
  </si>
  <si>
    <t>( - ) CRÉDITO UTILIZADO</t>
  </si>
  <si>
    <t>VALOR A RECOLHER</t>
  </si>
  <si>
    <t>Pis</t>
  </si>
  <si>
    <t>Cofins</t>
  </si>
  <si>
    <t>LOJA 12</t>
  </si>
  <si>
    <t>Comissoes e incentivos de vendas - 40103020002</t>
  </si>
  <si>
    <t>(-) Acordos para reducao de custo - 40201010007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</si>
</sst>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R$&quot;* #,##0.00_);_(&quot;R$&quot;* \(#,##0.00\);_(&quot;R$&quot;* &quot;-&quot;??_);_(@_)"/>
    <numFmt numFmtId="165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7"/>
      <color rgb="FF000000"/>
      <name val="TT25Bt00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2">
    <xf numFmtId="0" fontId="0" fillId="0" borderId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0" fillId="0" borderId="0"/>
  </cellStyleXfs>
  <cellXfs count="40">
    <xf numFmtId="0" fontId="0" fillId="0" borderId="0" xfId="0"/>
    <xf numFmtId="165" fontId="0" fillId="0" borderId="0" xfId="1" applyFont="1"/>
    <xf numFmtId="4" fontId="19" fillId="0" borderId="0" xfId="0" applyNumberFormat="1" applyFont="1" applyAlignment="1">
      <alignment horizontal="right" vertical="center"/>
    </xf>
    <xf numFmtId="4" fontId="19" fillId="0" borderId="0" xfId="1" applyNumberFormat="1" applyFont="1" applyBorder="1" applyAlignment="1">
      <alignment horizontal="right" vertical="center"/>
    </xf>
    <xf numFmtId="4" fontId="19" fillId="34" borderId="0" xfId="0" applyNumberFormat="1" applyFont="1" applyFill="1" applyAlignment="1">
      <alignment horizontal="right" vertical="center"/>
    </xf>
    <xf numFmtId="4" fontId="19" fillId="0" borderId="0" xfId="50" applyNumberFormat="1" applyFont="1" applyFill="1" applyBorder="1" applyAlignment="1">
      <alignment horizontal="right" vertical="center"/>
    </xf>
    <xf numFmtId="4" fontId="19" fillId="35" borderId="0" xfId="1" applyNumberFormat="1" applyFont="1" applyFill="1" applyBorder="1" applyAlignment="1">
      <alignment horizontal="right" vertical="center"/>
    </xf>
    <xf numFmtId="4" fontId="19" fillId="35" borderId="0" xfId="50" applyNumberFormat="1" applyFont="1" applyFill="1" applyBorder="1" applyAlignment="1">
      <alignment horizontal="right" vertical="center"/>
    </xf>
    <xf numFmtId="4" fontId="19" fillId="0" borderId="0" xfId="50" applyNumberFormat="1" applyFont="1" applyAlignment="1">
      <alignment horizontal="right" vertical="center"/>
    </xf>
    <xf numFmtId="4" fontId="19" fillId="0" borderId="0" xfId="1" applyNumberFormat="1" applyFont="1" applyFill="1" applyBorder="1" applyAlignment="1">
      <alignment horizontal="right" vertical="center"/>
    </xf>
    <xf numFmtId="4" fontId="18" fillId="34" borderId="10" xfId="0" applyNumberFormat="1" applyFont="1" applyFill="1" applyBorder="1" applyAlignment="1">
      <alignment horizontal="right" vertical="center"/>
    </xf>
    <xf numFmtId="4" fontId="18" fillId="34" borderId="10" xfId="1" applyNumberFormat="1" applyFont="1" applyFill="1" applyBorder="1" applyAlignment="1">
      <alignment horizontal="right" vertical="center"/>
    </xf>
    <xf numFmtId="4" fontId="19" fillId="34" borderId="10" xfId="0" applyNumberFormat="1" applyFont="1" applyFill="1" applyBorder="1" applyAlignment="1">
      <alignment horizontal="right" vertical="center"/>
    </xf>
    <xf numFmtId="4" fontId="19" fillId="34" borderId="10" xfId="1" applyNumberFormat="1" applyFont="1" applyFill="1" applyBorder="1" applyAlignment="1">
      <alignment horizontal="right" vertical="center"/>
    </xf>
    <xf numFmtId="4" fontId="19" fillId="0" borderId="0" xfId="0" applyNumberFormat="1" applyFont="1" applyAlignment="1">
      <alignment horizontal="right"/>
    </xf>
    <xf numFmtId="4" fontId="18" fillId="33" borderId="0" xfId="0" applyNumberFormat="1" applyFont="1" applyFill="1" applyAlignment="1">
      <alignment horizontal="right" vertical="center"/>
    </xf>
    <xf numFmtId="4" fontId="18" fillId="33" borderId="0" xfId="1" applyNumberFormat="1" applyFont="1" applyFill="1" applyBorder="1" applyAlignment="1">
      <alignment horizontal="right" vertical="center"/>
    </xf>
    <xf numFmtId="4" fontId="18" fillId="0" borderId="0" xfId="1" applyNumberFormat="1" applyFont="1" applyFill="1" applyBorder="1" applyAlignment="1">
      <alignment horizontal="right" vertical="center"/>
    </xf>
    <xf numFmtId="4" fontId="18" fillId="34" borderId="0" xfId="0" applyNumberFormat="1" applyFont="1" applyFill="1" applyAlignment="1">
      <alignment horizontal="right" vertical="center"/>
    </xf>
    <xf numFmtId="4" fontId="18" fillId="34" borderId="0" xfId="50" applyNumberFormat="1" applyFont="1" applyFill="1" applyBorder="1" applyAlignment="1">
      <alignment horizontal="right" vertical="center"/>
    </xf>
    <xf numFmtId="4" fontId="18" fillId="34" borderId="0" xfId="1" applyNumberFormat="1" applyFont="1" applyFill="1" applyBorder="1" applyAlignment="1">
      <alignment horizontal="right" vertical="center"/>
    </xf>
    <xf numFmtId="4" fontId="18" fillId="35" borderId="0" xfId="50" applyNumberFormat="1" applyFont="1" applyFill="1" applyBorder="1" applyAlignment="1">
      <alignment horizontal="right" vertical="center"/>
    </xf>
    <xf numFmtId="4" fontId="18" fillId="34" borderId="0" xfId="50" applyNumberFormat="1" applyFont="1" applyFill="1" applyAlignment="1">
      <alignment horizontal="right" vertical="center"/>
    </xf>
    <xf numFmtId="4" fontId="19" fillId="33" borderId="0" xfId="0" applyNumberFormat="1" applyFont="1" applyFill="1" applyAlignment="1">
      <alignment horizontal="right" vertical="center"/>
    </xf>
    <xf numFmtId="4" fontId="18" fillId="0" borderId="11" xfId="50" applyNumberFormat="1" applyFont="1" applyFill="1" applyBorder="1" applyAlignment="1">
      <alignment horizontal="right" vertical="center"/>
    </xf>
    <xf numFmtId="4" fontId="19" fillId="0" borderId="11" xfId="50" applyNumberFormat="1" applyFont="1" applyFill="1" applyBorder="1" applyAlignment="1">
      <alignment horizontal="right" vertical="center"/>
    </xf>
    <xf numFmtId="4" fontId="21" fillId="0" borderId="0" xfId="0" applyNumberFormat="1" applyFont="1"/>
    <xf numFmtId="0" fontId="21" fillId="0" borderId="0" xfId="0" applyFont="1"/>
    <xf numFmtId="4" fontId="18" fillId="37" borderId="0" xfId="1" applyNumberFormat="1" applyFont="1" applyFill="1" applyBorder="1" applyAlignment="1">
      <alignment horizontal="right" vertical="center"/>
    </xf>
    <xf numFmtId="4" fontId="18" fillId="37" borderId="0" xfId="50" applyNumberFormat="1" applyFont="1" applyFill="1" applyBorder="1" applyAlignment="1">
      <alignment horizontal="right" vertical="center"/>
    </xf>
    <xf numFmtId="4" fontId="18" fillId="37" borderId="11" xfId="50" applyNumberFormat="1" applyFont="1" applyFill="1" applyBorder="1" applyAlignment="1">
      <alignment horizontal="right" vertical="center"/>
    </xf>
    <xf numFmtId="4" fontId="19" fillId="35" borderId="0" xfId="0" applyNumberFormat="1" applyFont="1" applyFill="1" applyAlignment="1">
      <alignment horizontal="right" vertical="center"/>
    </xf>
    <xf numFmtId="4" fontId="18" fillId="36" borderId="0" xfId="0" applyNumberFormat="1" applyFont="1" applyFill="1" applyAlignment="1">
      <alignment horizontal="center" vertical="center"/>
    </xf>
    <xf numFmtId="4" fontId="19" fillId="34" borderId="0" xfId="0" applyNumberFormat="1" applyFont="1" applyFill="1" applyAlignment="1">
      <alignment horizontal="right" vertical="center"/>
    </xf>
    <xf numFmtId="4" fontId="18" fillId="34" borderId="0" xfId="0" applyNumberFormat="1" applyFont="1" applyFill="1" applyAlignment="1">
      <alignment horizontal="right" vertical="center"/>
    </xf>
    <xf numFmtId="4" fontId="18" fillId="35" borderId="0" xfId="0" applyNumberFormat="1" applyFont="1" applyFill="1" applyAlignment="1">
      <alignment horizontal="right" vertical="center"/>
    </xf>
    <xf numFmtId="4" fontId="18" fillId="33" borderId="0" xfId="0" applyNumberFormat="1" applyFont="1" applyFill="1" applyAlignment="1">
      <alignment horizontal="right" vertical="center"/>
    </xf>
    <xf numFmtId="4" fontId="19" fillId="0" borderId="0" xfId="0" applyNumberFormat="1" applyFont="1" applyAlignment="1">
      <alignment horizontal="right" vertical="center"/>
    </xf>
    <xf numFmtId="4" fontId="18" fillId="34" borderId="10" xfId="0" applyNumberFormat="1" applyFont="1" applyFill="1" applyBorder="1" applyAlignment="1">
      <alignment horizontal="right" vertical="center"/>
    </xf>
    <xf numFmtId="4" fontId="19" fillId="37" borderId="11" xfId="50" applyNumberFormat="1" applyFont="1" applyFill="1" applyBorder="1" applyAlignment="1">
      <alignment horizontal="right" vertical="center"/>
    </xf>
  </cellXfs>
  <cellStyles count="52">
    <cellStyle name="20% - Ênfase1" xfId="20" builtinId="30" customBuiltin="1"/>
    <cellStyle name="20% - Ênfase2" xfId="24" builtinId="34" customBuiltin="1"/>
    <cellStyle name="20% - Ênfase3" xfId="28" builtinId="38" customBuiltin="1"/>
    <cellStyle name="20% - Ênfase4" xfId="32" builtinId="42" customBuiltin="1"/>
    <cellStyle name="20% - Ênfase5" xfId="36" builtinId="46" customBuiltin="1"/>
    <cellStyle name="20% - Ênfase6" xfId="40" builtinId="50" customBuiltin="1"/>
    <cellStyle name="40% - Ênfase1" xfId="21" builtinId="31" customBuiltin="1"/>
    <cellStyle name="40% - Ênfase2" xfId="25" builtinId="35" customBuiltin="1"/>
    <cellStyle name="40% - Ênfase3" xfId="29" builtinId="39" customBuiltin="1"/>
    <cellStyle name="40% - Ênfase4" xfId="33" builtinId="43" customBuiltin="1"/>
    <cellStyle name="40% - Ênfase5" xfId="37" builtinId="47" customBuiltin="1"/>
    <cellStyle name="40% - Ênfase6" xfId="41" builtinId="51" customBuiltin="1"/>
    <cellStyle name="60% - Ênfase1" xfId="22" builtinId="32" customBuiltin="1"/>
    <cellStyle name="60% - Ênfase2" xfId="26" builtinId="36" customBuiltin="1"/>
    <cellStyle name="60% - Ênfase3" xfId="30" builtinId="40" customBuiltin="1"/>
    <cellStyle name="60% - Ênfase4" xfId="34" builtinId="44" customBuiltin="1"/>
    <cellStyle name="60% - Ênfase5" xfId="38" builtinId="48" customBuiltin="1"/>
    <cellStyle name="60% - Ênfase6" xfId="42" builtinId="52" customBuiltin="1"/>
    <cellStyle name="Bom" xfId="7" builtinId="26" customBuiltin="1"/>
    <cellStyle name="Cálculo" xfId="12" builtinId="22" customBuiltin="1"/>
    <cellStyle name="Célula de Verificação" xfId="14" builtinId="23" customBuiltin="1"/>
    <cellStyle name="Célula Vinculada" xfId="13" builtinId="24" customBuiltin="1"/>
    <cellStyle name="Ênfase1" xfId="19" builtinId="29" customBuiltin="1"/>
    <cellStyle name="Ênfase2" xfId="23" builtinId="33" customBuiltin="1"/>
    <cellStyle name="Ênfase3" xfId="27" builtinId="37" customBuiltin="1"/>
    <cellStyle name="Ênfase4" xfId="31" builtinId="41" customBuiltin="1"/>
    <cellStyle name="Ênfase5" xfId="35" builtinId="45" customBuiltin="1"/>
    <cellStyle name="Ênfase6" xfId="39" builtinId="49" customBuiltin="1"/>
    <cellStyle name="Entrada" xfId="10" builtinId="20" customBuiltin="1"/>
    <cellStyle name="Moeda" xfId="50" builtinId="4"/>
    <cellStyle name="Moeda 2" xfId="45" xr:uid="{00000000-0005-0000-0000-00001E000000}"/>
    <cellStyle name="Moeda 2 2" xfId="49" xr:uid="{82CE07DA-5751-4516-ABEB-EC79A330FD95}"/>
    <cellStyle name="Neutro" xfId="9" builtinId="28" customBuiltin="1"/>
    <cellStyle name="Normal" xfId="0" builtinId="0"/>
    <cellStyle name="Normal 2" xfId="51" xr:uid="{84EC9094-9E8A-4477-AC47-7B98785A3359}"/>
    <cellStyle name="Nota" xfId="16" builtinId="10" customBuiltin="1"/>
    <cellStyle name="Ruim" xfId="8" builtinId="27" customBuiltin="1"/>
    <cellStyle name="Saída" xfId="11" builtinId="21" customBuiltin="1"/>
    <cellStyle name="Separador de milhares 2" xfId="44" xr:uid="{00000000-0005-0000-0000-000024000000}"/>
    <cellStyle name="Separador de milhares 2 2" xfId="48" xr:uid="{2AB4B7F5-200F-456F-887B-A645796508D4}"/>
    <cellStyle name="Texto de Aviso" xfId="15" builtinId="11" customBuiltin="1"/>
    <cellStyle name="Texto Explicativo" xfId="17" builtinId="53" customBuiltin="1"/>
    <cellStyle name="Título" xfId="2" builtinId="15" customBuiltin="1"/>
    <cellStyle name="Título 1" xfId="3" builtinId="16" customBuiltin="1"/>
    <cellStyle name="Título 2" xfId="4" builtinId="17" customBuiltin="1"/>
    <cellStyle name="Título 3" xfId="5" builtinId="18" customBuiltin="1"/>
    <cellStyle name="Título 4" xfId="6" builtinId="19" customBuiltin="1"/>
    <cellStyle name="Total" xfId="18" builtinId="25" customBuiltin="1"/>
    <cellStyle name="Vírgula" xfId="1" builtinId="3"/>
    <cellStyle name="Vírgula 2" xfId="43" xr:uid="{00000000-0005-0000-0000-00002D000000}"/>
    <cellStyle name="Vírgula 2 2" xfId="47" xr:uid="{45B9D6BB-BFF5-4EB0-834C-E00437E1B804}"/>
    <cellStyle name="Vírgula 3" xfId="46" xr:uid="{899BCE92-F56D-4B12-9BC1-3E9BB5755722}"/>
  </cellStyles>
  <dxfs count="0"/>
  <tableStyles count="0" defaultTableStyle="TableStyleMedium9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etropolitano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B6D5-671D-437F-90EB-D19A12019325}">
  <sheetPr>
    <tabColor theme="7" tint="0.39997558519241921"/>
  </sheetPr>
  <dimension ref="A1:O118"/>
  <sheetViews>
    <sheetView showGridLines="0" tabSelected="1" topLeftCell="A96" zoomScaleNormal="100" workbookViewId="0">
      <pane xSplit="1" topLeftCell="C1" activePane="topRight" state="frozen"/>
      <selection pane="topRight" activeCell="K118" sqref="K118"/>
    </sheetView>
  </sheetViews>
  <sheetFormatPr defaultColWidth="9.140625" defaultRowHeight="12.75" x14ac:dyDescent="0.2"/>
  <cols>
    <col min="1" max="1" width="38.7109375" style="2" customWidth="1"/>
    <col min="2" max="5" width="11.28515625" style="2" bestFit="1" customWidth="1"/>
    <col min="6" max="6" width="12.7109375" style="2" bestFit="1" customWidth="1"/>
    <col min="7" max="12" width="11.28515625" style="2" bestFit="1" customWidth="1"/>
    <col min="13" max="13" width="11" style="2" customWidth="1"/>
    <col min="14" max="14" width="12.28515625" style="3" bestFit="1" customWidth="1"/>
    <col min="15" max="15" width="9.42578125" style="14" bestFit="1" customWidth="1"/>
    <col min="16" max="16384" width="9.140625" style="14"/>
  </cols>
  <sheetData>
    <row r="1" spans="1:14" x14ac:dyDescent="0.2">
      <c r="A1" s="32" t="s">
        <v>18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</row>
    <row r="3" spans="1:14" x14ac:dyDescent="0.2">
      <c r="A3" s="15" t="s">
        <v>19</v>
      </c>
      <c r="B3" s="15" t="s">
        <v>20</v>
      </c>
      <c r="C3" s="15" t="s">
        <v>21</v>
      </c>
      <c r="D3" s="15" t="s">
        <v>22</v>
      </c>
      <c r="E3" s="15" t="s">
        <v>23</v>
      </c>
      <c r="F3" s="15" t="s">
        <v>37</v>
      </c>
      <c r="G3" s="15" t="s">
        <v>24</v>
      </c>
      <c r="H3" s="15" t="s">
        <v>25</v>
      </c>
      <c r="I3" s="15" t="s">
        <v>26</v>
      </c>
      <c r="J3" s="15" t="s">
        <v>27</v>
      </c>
      <c r="K3" s="15" t="s">
        <v>28</v>
      </c>
      <c r="L3" s="15" t="s">
        <v>29</v>
      </c>
      <c r="M3" s="15" t="s">
        <v>111</v>
      </c>
      <c r="N3" s="16" t="s">
        <v>17</v>
      </c>
    </row>
    <row r="4" spans="1:14" x14ac:dyDescent="0.2">
      <c r="A4" s="4" t="s">
        <v>30</v>
      </c>
      <c r="B4" s="26">
        <v>623477.34</v>
      </c>
      <c r="C4" s="26">
        <v>1002732.73</v>
      </c>
      <c r="D4" s="26">
        <v>1293042.95</v>
      </c>
      <c r="E4" s="26">
        <v>553241.02</v>
      </c>
      <c r="F4" s="26">
        <v>678641.23</v>
      </c>
      <c r="G4" s="26">
        <v>1321021.47</v>
      </c>
      <c r="H4" s="26">
        <v>785895.62</v>
      </c>
      <c r="I4" s="26">
        <v>2016919.23</v>
      </c>
      <c r="J4" s="26">
        <v>1726904.44</v>
      </c>
      <c r="K4" s="26">
        <v>1374237.62</v>
      </c>
      <c r="L4" s="26">
        <v>1202377.56</v>
      </c>
      <c r="M4" s="26">
        <v>349478.28</v>
      </c>
      <c r="N4" s="17">
        <f>SUM(B4:M4)</f>
        <v>12927969.489999998</v>
      </c>
    </row>
    <row r="5" spans="1:14" x14ac:dyDescent="0.2">
      <c r="A5" s="4" t="s">
        <v>31</v>
      </c>
      <c r="B5" s="26">
        <v>55797.15</v>
      </c>
      <c r="C5" s="26">
        <v>88608.84</v>
      </c>
      <c r="D5" s="26">
        <v>138283.79</v>
      </c>
      <c r="E5" s="26">
        <v>34135.68</v>
      </c>
      <c r="F5" s="26">
        <v>62222.92</v>
      </c>
      <c r="G5" s="26">
        <v>96474.79</v>
      </c>
      <c r="H5" s="26">
        <v>64632.58</v>
      </c>
      <c r="I5" s="26">
        <v>141037.41</v>
      </c>
      <c r="J5" s="26">
        <v>117767.3</v>
      </c>
      <c r="K5" s="26">
        <v>102100.54</v>
      </c>
      <c r="L5" s="26">
        <v>110245.46</v>
      </c>
      <c r="M5" s="26">
        <v>28932.02</v>
      </c>
      <c r="N5" s="28">
        <f t="shared" ref="N5:N8" si="0">SUM(B5:M5)</f>
        <v>1040238.4800000001</v>
      </c>
    </row>
    <row r="6" spans="1:14" x14ac:dyDescent="0.2">
      <c r="A6" s="4" t="s">
        <v>32</v>
      </c>
      <c r="B6" s="26">
        <v>6731.88</v>
      </c>
      <c r="C6" s="26">
        <v>4592.49</v>
      </c>
      <c r="D6" s="26">
        <v>9451.23</v>
      </c>
      <c r="E6" s="26">
        <v>12924.85</v>
      </c>
      <c r="F6" s="26">
        <v>10071.870000000001</v>
      </c>
      <c r="G6" s="26">
        <v>11323.76</v>
      </c>
      <c r="H6" s="26">
        <v>9305.74</v>
      </c>
      <c r="I6" s="26">
        <v>12141.54</v>
      </c>
      <c r="J6" s="26">
        <v>9783.9599999999991</v>
      </c>
      <c r="K6" s="26">
        <v>17240.189999999999</v>
      </c>
      <c r="L6" s="26">
        <v>11305.84</v>
      </c>
      <c r="M6" s="26">
        <v>3153.72</v>
      </c>
      <c r="N6" s="28">
        <f t="shared" si="0"/>
        <v>118027.07</v>
      </c>
    </row>
    <row r="7" spans="1:14" x14ac:dyDescent="0.2">
      <c r="A7" s="4" t="s">
        <v>33</v>
      </c>
      <c r="B7" s="26">
        <v>1178565.21</v>
      </c>
      <c r="C7" s="26">
        <v>1991809.6</v>
      </c>
      <c r="D7" s="26">
        <v>2186914.62</v>
      </c>
      <c r="E7" s="26">
        <v>1083331.3</v>
      </c>
      <c r="F7" s="26">
        <v>1234151.23</v>
      </c>
      <c r="G7" s="26">
        <v>2337219.56</v>
      </c>
      <c r="H7" s="26">
        <v>1620919.24</v>
      </c>
      <c r="I7" s="26">
        <v>3131334.08</v>
      </c>
      <c r="J7" s="26">
        <v>2598968.2200000002</v>
      </c>
      <c r="K7" s="26">
        <v>2263680.17</v>
      </c>
      <c r="L7" s="26">
        <v>2247246.5699999998</v>
      </c>
      <c r="M7" s="26">
        <v>775454.56</v>
      </c>
      <c r="N7" s="28">
        <f t="shared" si="0"/>
        <v>22649594.359999996</v>
      </c>
    </row>
    <row r="8" spans="1:14" x14ac:dyDescent="0.2">
      <c r="A8" s="4" t="s">
        <v>34</v>
      </c>
      <c r="B8" s="27">
        <v>73.739999999999995</v>
      </c>
      <c r="C8" s="27">
        <v>55.29</v>
      </c>
      <c r="D8" s="27">
        <v>174.52</v>
      </c>
      <c r="E8" s="27">
        <v>117.14</v>
      </c>
      <c r="F8" s="27">
        <v>23.92</v>
      </c>
      <c r="G8" s="27">
        <v>38.659999999999997</v>
      </c>
      <c r="H8" s="27">
        <v>67.16</v>
      </c>
      <c r="I8" s="27">
        <v>266.87</v>
      </c>
      <c r="J8" s="27">
        <v>127.94</v>
      </c>
      <c r="K8" s="27">
        <v>188.07</v>
      </c>
      <c r="L8" s="27">
        <v>59.27</v>
      </c>
      <c r="M8" s="27">
        <v>75.349999999999994</v>
      </c>
      <c r="N8" s="28">
        <f t="shared" si="0"/>
        <v>1267.9299999999998</v>
      </c>
    </row>
    <row r="9" spans="1:14" x14ac:dyDescent="0.2">
      <c r="A9" s="18" t="s">
        <v>35</v>
      </c>
      <c r="B9" s="19">
        <f t="shared" ref="B9:M9" si="1">SUM(B3:B8)</f>
        <v>1864645.32</v>
      </c>
      <c r="C9" s="19">
        <f t="shared" si="1"/>
        <v>3087798.95</v>
      </c>
      <c r="D9" s="19">
        <f t="shared" si="1"/>
        <v>3627867.11</v>
      </c>
      <c r="E9" s="19">
        <f t="shared" si="1"/>
        <v>1683749.99</v>
      </c>
      <c r="F9" s="19">
        <f>SUM(F3:F8)</f>
        <v>1985111.17</v>
      </c>
      <c r="G9" s="19">
        <f t="shared" si="1"/>
        <v>3766078.24</v>
      </c>
      <c r="H9" s="19">
        <f>SUM(H3:H8)</f>
        <v>2480820.34</v>
      </c>
      <c r="I9" s="19">
        <f t="shared" si="1"/>
        <v>5301699.13</v>
      </c>
      <c r="J9" s="19">
        <f t="shared" si="1"/>
        <v>4453551.8600000003</v>
      </c>
      <c r="K9" s="19">
        <f t="shared" si="1"/>
        <v>3757446.59</v>
      </c>
      <c r="L9" s="19">
        <f t="shared" si="1"/>
        <v>3571234.6999999997</v>
      </c>
      <c r="M9" s="19">
        <f t="shared" si="1"/>
        <v>1157093.9300000002</v>
      </c>
      <c r="N9" s="20">
        <f>SUM(N4:N8)</f>
        <v>36737097.329999991</v>
      </c>
    </row>
    <row r="11" spans="1:14" x14ac:dyDescent="0.2">
      <c r="A11" s="15" t="s">
        <v>36</v>
      </c>
      <c r="B11" s="15" t="s">
        <v>20</v>
      </c>
      <c r="C11" s="15" t="s">
        <v>21</v>
      </c>
      <c r="D11" s="15" t="s">
        <v>22</v>
      </c>
      <c r="E11" s="15" t="s">
        <v>23</v>
      </c>
      <c r="F11" s="15" t="s">
        <v>37</v>
      </c>
      <c r="G11" s="15" t="s">
        <v>24</v>
      </c>
      <c r="H11" s="15" t="s">
        <v>25</v>
      </c>
      <c r="I11" s="15" t="s">
        <v>26</v>
      </c>
      <c r="J11" s="15" t="s">
        <v>27</v>
      </c>
      <c r="K11" s="15" t="s">
        <v>28</v>
      </c>
      <c r="L11" s="15" t="s">
        <v>29</v>
      </c>
      <c r="M11" s="15" t="s">
        <v>111</v>
      </c>
      <c r="N11" s="16" t="s">
        <v>17</v>
      </c>
    </row>
    <row r="12" spans="1:14" x14ac:dyDescent="0.2">
      <c r="A12" s="4" t="s">
        <v>112</v>
      </c>
      <c r="B12" s="5"/>
      <c r="C12" s="5"/>
      <c r="D12" s="5"/>
      <c r="E12" s="5"/>
      <c r="F12" s="5">
        <v>1183.1600000000001</v>
      </c>
      <c r="G12" s="5"/>
      <c r="H12" s="5"/>
      <c r="I12" s="5"/>
      <c r="J12" s="5"/>
      <c r="K12" s="5"/>
      <c r="L12" s="5"/>
      <c r="M12" s="5"/>
      <c r="N12" s="17">
        <f>SUM(B12:M12)</f>
        <v>1183.1600000000001</v>
      </c>
    </row>
    <row r="13" spans="1:14" x14ac:dyDescent="0.2">
      <c r="A13" s="4" t="s">
        <v>38</v>
      </c>
      <c r="B13" s="5">
        <v>66.03</v>
      </c>
      <c r="C13" s="5">
        <v>72.290000000000006</v>
      </c>
      <c r="D13" s="5">
        <v>84.07</v>
      </c>
      <c r="E13" s="5">
        <v>80.930000000000007</v>
      </c>
      <c r="F13" s="5">
        <v>44.13</v>
      </c>
      <c r="G13" s="5">
        <v>52.04</v>
      </c>
      <c r="H13" s="5">
        <v>37.869999999999997</v>
      </c>
      <c r="I13" s="5">
        <v>38.04</v>
      </c>
      <c r="J13" s="5">
        <v>10.17</v>
      </c>
      <c r="K13" s="5">
        <v>39.15</v>
      </c>
      <c r="L13" s="5">
        <v>38.909999999999997</v>
      </c>
      <c r="M13" s="5">
        <v>16.41</v>
      </c>
      <c r="N13" s="17">
        <f>SUM(B13:M13)</f>
        <v>580.04</v>
      </c>
    </row>
    <row r="14" spans="1:14" x14ac:dyDescent="0.2">
      <c r="A14" s="4" t="s">
        <v>39</v>
      </c>
      <c r="B14" s="5"/>
      <c r="C14" s="5"/>
      <c r="D14" s="5"/>
      <c r="E14" s="5"/>
      <c r="F14" s="5">
        <v>1123.5</v>
      </c>
      <c r="G14" s="5"/>
      <c r="H14" s="5"/>
      <c r="I14" s="5"/>
      <c r="J14" s="5"/>
      <c r="K14" s="5"/>
      <c r="L14" s="5"/>
      <c r="M14" s="5"/>
      <c r="N14" s="17">
        <f t="shared" ref="N14:N19" si="2">SUM(B14:M14)</f>
        <v>1123.5</v>
      </c>
    </row>
    <row r="15" spans="1:14" x14ac:dyDescent="0.2">
      <c r="A15" s="4" t="s">
        <v>113</v>
      </c>
      <c r="B15" s="5"/>
      <c r="C15" s="5"/>
      <c r="D15" s="5"/>
      <c r="E15" s="5"/>
      <c r="F15" s="5">
        <v>369390.39</v>
      </c>
      <c r="G15" s="5"/>
      <c r="H15" s="5"/>
      <c r="I15" s="5"/>
      <c r="J15" s="5"/>
      <c r="K15" s="5"/>
      <c r="L15" s="5"/>
      <c r="M15" s="5">
        <v>4598</v>
      </c>
      <c r="N15" s="17">
        <f t="shared" si="2"/>
        <v>373988.39</v>
      </c>
    </row>
    <row r="16" spans="1:14" x14ac:dyDescent="0.2">
      <c r="A16" s="4" t="s">
        <v>40</v>
      </c>
      <c r="B16" s="5"/>
      <c r="C16" s="5"/>
      <c r="D16" s="5"/>
      <c r="E16" s="5">
        <v>1771.2</v>
      </c>
      <c r="F16" s="5">
        <v>9604.91</v>
      </c>
      <c r="G16" s="5">
        <v>3683.97</v>
      </c>
      <c r="H16" s="5">
        <v>1415</v>
      </c>
      <c r="I16" s="5"/>
      <c r="J16" s="5"/>
      <c r="K16" s="5"/>
      <c r="L16" s="5"/>
      <c r="M16" s="5"/>
      <c r="N16" s="17">
        <f t="shared" si="2"/>
        <v>16475.080000000002</v>
      </c>
    </row>
    <row r="17" spans="1:14" x14ac:dyDescent="0.2">
      <c r="A17" s="4" t="s">
        <v>41</v>
      </c>
      <c r="B17" s="5"/>
      <c r="C17" s="5"/>
      <c r="D17" s="5"/>
      <c r="E17" s="5"/>
      <c r="F17" s="5">
        <v>1.84</v>
      </c>
      <c r="G17" s="5"/>
      <c r="H17" s="5"/>
      <c r="I17" s="5"/>
      <c r="J17" s="5"/>
      <c r="K17" s="5"/>
      <c r="L17" s="5"/>
      <c r="M17" s="5"/>
      <c r="N17" s="17">
        <f t="shared" si="2"/>
        <v>1.84</v>
      </c>
    </row>
    <row r="18" spans="1:14" x14ac:dyDescent="0.2">
      <c r="A18" s="4" t="s">
        <v>42</v>
      </c>
      <c r="B18" s="5">
        <v>55</v>
      </c>
      <c r="C18" s="5">
        <v>896.75</v>
      </c>
      <c r="D18" s="5">
        <v>369.75</v>
      </c>
      <c r="E18" s="5"/>
      <c r="F18" s="5">
        <v>5192.25</v>
      </c>
      <c r="G18" s="5">
        <v>186</v>
      </c>
      <c r="H18" s="5">
        <v>462.75</v>
      </c>
      <c r="I18" s="5">
        <v>648.75</v>
      </c>
      <c r="J18" s="5">
        <v>1291.25</v>
      </c>
      <c r="K18" s="5">
        <v>237.5</v>
      </c>
      <c r="L18" s="5">
        <v>111.75</v>
      </c>
      <c r="M18" s="5"/>
      <c r="N18" s="17">
        <f t="shared" si="2"/>
        <v>9451.75</v>
      </c>
    </row>
    <row r="19" spans="1:14" x14ac:dyDescent="0.2">
      <c r="A19" s="4" t="s">
        <v>50</v>
      </c>
      <c r="B19" s="5"/>
      <c r="C19" s="5"/>
      <c r="D19" s="5"/>
      <c r="E19" s="5"/>
      <c r="F19" s="5">
        <v>34320.21</v>
      </c>
      <c r="G19" s="5"/>
      <c r="H19" s="5"/>
      <c r="I19" s="5"/>
      <c r="J19" s="5"/>
      <c r="K19" s="5"/>
      <c r="L19" s="5"/>
      <c r="M19" s="5"/>
      <c r="N19" s="17">
        <f t="shared" si="2"/>
        <v>34320.21</v>
      </c>
    </row>
    <row r="20" spans="1:14" x14ac:dyDescent="0.2">
      <c r="A20" s="18" t="s">
        <v>17</v>
      </c>
      <c r="B20" s="19">
        <f>SUM(B12:B19)</f>
        <v>121.03</v>
      </c>
      <c r="C20" s="19">
        <f t="shared" ref="C20:M20" si="3">SUM(C12:C19)</f>
        <v>969.04</v>
      </c>
      <c r="D20" s="19">
        <f t="shared" si="3"/>
        <v>453.82</v>
      </c>
      <c r="E20" s="19">
        <f t="shared" si="3"/>
        <v>1852.13</v>
      </c>
      <c r="F20" s="19">
        <f t="shared" si="3"/>
        <v>420860.39</v>
      </c>
      <c r="G20" s="19">
        <f t="shared" si="3"/>
        <v>3922.0099999999998</v>
      </c>
      <c r="H20" s="19">
        <f t="shared" si="3"/>
        <v>1915.62</v>
      </c>
      <c r="I20" s="19">
        <f t="shared" si="3"/>
        <v>686.79</v>
      </c>
      <c r="J20" s="19">
        <f t="shared" si="3"/>
        <v>1301.42</v>
      </c>
      <c r="K20" s="19">
        <f t="shared" si="3"/>
        <v>276.64999999999998</v>
      </c>
      <c r="L20" s="19">
        <f t="shared" si="3"/>
        <v>150.66</v>
      </c>
      <c r="M20" s="19">
        <f t="shared" si="3"/>
        <v>4614.41</v>
      </c>
      <c r="N20" s="19">
        <f>SUM(N12:N19)</f>
        <v>437123.97000000009</v>
      </c>
    </row>
    <row r="21" spans="1:14" x14ac:dyDescent="0.2">
      <c r="A21" s="31" t="s">
        <v>43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6">
        <f>N20*1.65%</f>
        <v>7212.5455050000019</v>
      </c>
    </row>
    <row r="22" spans="1:14" x14ac:dyDescent="0.2">
      <c r="A22" s="31" t="s">
        <v>44</v>
      </c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6">
        <f>N20*7.6%</f>
        <v>33221.421720000006</v>
      </c>
    </row>
    <row r="24" spans="1:14" x14ac:dyDescent="0.2">
      <c r="A24" s="15" t="s">
        <v>45</v>
      </c>
      <c r="B24" s="15" t="s">
        <v>20</v>
      </c>
      <c r="C24" s="15" t="s">
        <v>21</v>
      </c>
      <c r="D24" s="15" t="s">
        <v>22</v>
      </c>
      <c r="E24" s="15" t="s">
        <v>23</v>
      </c>
      <c r="F24" s="15" t="s">
        <v>37</v>
      </c>
      <c r="G24" s="15" t="s">
        <v>24</v>
      </c>
      <c r="H24" s="15" t="s">
        <v>25</v>
      </c>
      <c r="I24" s="15" t="s">
        <v>26</v>
      </c>
      <c r="J24" s="15" t="s">
        <v>27</v>
      </c>
      <c r="K24" s="15" t="s">
        <v>28</v>
      </c>
      <c r="L24" s="15" t="s">
        <v>29</v>
      </c>
      <c r="M24" s="15" t="s">
        <v>111</v>
      </c>
      <c r="N24" s="16" t="s">
        <v>17</v>
      </c>
    </row>
    <row r="25" spans="1:14" x14ac:dyDescent="0.2">
      <c r="A25" s="4" t="s">
        <v>46</v>
      </c>
      <c r="B25" s="5"/>
      <c r="C25" s="5"/>
      <c r="D25" s="5"/>
      <c r="E25" s="5"/>
      <c r="F25" s="14"/>
      <c r="G25" s="5"/>
      <c r="H25" s="5"/>
      <c r="I25" s="5"/>
      <c r="J25" s="5"/>
      <c r="K25" s="5"/>
      <c r="L25" s="5"/>
      <c r="M25" s="5"/>
      <c r="N25" s="17">
        <f>SUM(B25:M25)</f>
        <v>0</v>
      </c>
    </row>
    <row r="26" spans="1:14" x14ac:dyDescent="0.2">
      <c r="A26" s="4" t="s">
        <v>47</v>
      </c>
      <c r="B26" s="5"/>
      <c r="C26" s="5"/>
      <c r="D26" s="5"/>
      <c r="E26" s="5"/>
      <c r="F26" s="5">
        <v>65653.23</v>
      </c>
      <c r="G26" s="5"/>
      <c r="H26" s="5"/>
      <c r="I26" s="5"/>
      <c r="J26" s="5"/>
      <c r="K26" s="5"/>
      <c r="L26" s="5"/>
      <c r="M26" s="5"/>
      <c r="N26" s="17">
        <f t="shared" ref="N26:N29" si="4">SUM(B26:M26)</f>
        <v>65653.23</v>
      </c>
    </row>
    <row r="27" spans="1:14" x14ac:dyDescent="0.2">
      <c r="A27" s="4" t="s">
        <v>48</v>
      </c>
      <c r="B27" s="5">
        <v>0.01</v>
      </c>
      <c r="C27" s="5"/>
      <c r="D27" s="5">
        <v>89.33</v>
      </c>
      <c r="E27" s="5"/>
      <c r="F27" s="5">
        <v>0.4</v>
      </c>
      <c r="G27" s="5"/>
      <c r="H27" s="5">
        <v>0.01</v>
      </c>
      <c r="I27" s="5"/>
      <c r="J27" s="5"/>
      <c r="K27" s="5"/>
      <c r="L27" s="5"/>
      <c r="M27" s="5"/>
      <c r="N27" s="17">
        <f t="shared" si="4"/>
        <v>89.750000000000014</v>
      </c>
    </row>
    <row r="28" spans="1:14" x14ac:dyDescent="0.2">
      <c r="A28" s="4" t="s">
        <v>49</v>
      </c>
      <c r="B28" s="5"/>
      <c r="C28" s="5"/>
      <c r="D28" s="5"/>
      <c r="E28" s="5"/>
      <c r="F28" s="5">
        <v>78620.69</v>
      </c>
      <c r="G28" s="5">
        <v>71.77</v>
      </c>
      <c r="H28" s="5"/>
      <c r="I28" s="5">
        <v>4.3099999999999996</v>
      </c>
      <c r="J28" s="5"/>
      <c r="K28" s="5">
        <v>47.05</v>
      </c>
      <c r="L28" s="5">
        <v>126.24</v>
      </c>
      <c r="M28" s="5">
        <v>1896.86</v>
      </c>
      <c r="N28" s="17">
        <f t="shared" si="4"/>
        <v>80766.920000000013</v>
      </c>
    </row>
    <row r="29" spans="1:14" x14ac:dyDescent="0.2">
      <c r="A29" s="4" t="s">
        <v>50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17">
        <f t="shared" si="4"/>
        <v>0</v>
      </c>
    </row>
    <row r="30" spans="1:14" x14ac:dyDescent="0.2">
      <c r="A30" s="18" t="s">
        <v>17</v>
      </c>
      <c r="B30" s="19">
        <f t="shared" ref="B30:N30" si="5">SUM(B25:B29)</f>
        <v>0.01</v>
      </c>
      <c r="C30" s="19">
        <f t="shared" si="5"/>
        <v>0</v>
      </c>
      <c r="D30" s="19">
        <f t="shared" si="5"/>
        <v>89.33</v>
      </c>
      <c r="E30" s="19">
        <f t="shared" si="5"/>
        <v>0</v>
      </c>
      <c r="F30" s="19">
        <f>SUM(F26:F29)</f>
        <v>144274.32</v>
      </c>
      <c r="G30" s="19">
        <f t="shared" si="5"/>
        <v>71.77</v>
      </c>
      <c r="H30" s="19">
        <f t="shared" si="5"/>
        <v>0.01</v>
      </c>
      <c r="I30" s="19">
        <f t="shared" si="5"/>
        <v>4.3099999999999996</v>
      </c>
      <c r="J30" s="19">
        <f t="shared" si="5"/>
        <v>0</v>
      </c>
      <c r="K30" s="19">
        <f t="shared" si="5"/>
        <v>47.05</v>
      </c>
      <c r="L30" s="19">
        <f t="shared" si="5"/>
        <v>126.24</v>
      </c>
      <c r="M30" s="19">
        <f t="shared" si="5"/>
        <v>1896.86</v>
      </c>
      <c r="N30" s="29">
        <f t="shared" si="5"/>
        <v>146509.90000000002</v>
      </c>
    </row>
    <row r="31" spans="1:14" x14ac:dyDescent="0.2">
      <c r="A31" s="31" t="s">
        <v>51</v>
      </c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7">
        <f>N30*0.65%</f>
        <v>952.31435000000022</v>
      </c>
    </row>
    <row r="32" spans="1:14" x14ac:dyDescent="0.2">
      <c r="A32" s="31" t="s">
        <v>52</v>
      </c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7">
        <f>N30*4%</f>
        <v>5860.3960000000006</v>
      </c>
    </row>
    <row r="33" spans="1:14" x14ac:dyDescent="0.2">
      <c r="A33" s="31" t="s">
        <v>53</v>
      </c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7">
        <f>N9</f>
        <v>36737097.329999991</v>
      </c>
    </row>
    <row r="34" spans="1:14" x14ac:dyDescent="0.2">
      <c r="A34" s="31" t="s">
        <v>54</v>
      </c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7">
        <f>N20</f>
        <v>437123.97000000009</v>
      </c>
    </row>
    <row r="35" spans="1:14" ht="13.5" thickBot="1" x14ac:dyDescent="0.25">
      <c r="A35" s="31" t="s">
        <v>55</v>
      </c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7">
        <f>N30</f>
        <v>146509.90000000002</v>
      </c>
    </row>
    <row r="36" spans="1:14" ht="13.5" thickBot="1" x14ac:dyDescent="0.25">
      <c r="A36" s="33" t="s">
        <v>56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0">
        <f>SUM(N33:N35)</f>
        <v>37320731.199999988</v>
      </c>
    </row>
    <row r="38" spans="1:14" x14ac:dyDescent="0.2">
      <c r="A38" s="15" t="s">
        <v>57</v>
      </c>
      <c r="B38" s="15" t="s">
        <v>20</v>
      </c>
      <c r="C38" s="15" t="s">
        <v>21</v>
      </c>
      <c r="D38" s="15" t="s">
        <v>22</v>
      </c>
      <c r="E38" s="15" t="s">
        <v>23</v>
      </c>
      <c r="F38" s="15" t="s">
        <v>37</v>
      </c>
      <c r="G38" s="15" t="s">
        <v>24</v>
      </c>
      <c r="H38" s="15" t="s">
        <v>25</v>
      </c>
      <c r="I38" s="15" t="s">
        <v>26</v>
      </c>
      <c r="J38" s="15" t="s">
        <v>27</v>
      </c>
      <c r="K38" s="15" t="s">
        <v>28</v>
      </c>
      <c r="L38" s="15" t="s">
        <v>29</v>
      </c>
      <c r="M38" s="15" t="s">
        <v>111</v>
      </c>
      <c r="N38" s="16" t="s">
        <v>17</v>
      </c>
    </row>
    <row r="39" spans="1:14" x14ac:dyDescent="0.2">
      <c r="A39" s="4" t="s">
        <v>58</v>
      </c>
      <c r="B39" s="8">
        <f t="shared" ref="B39:M39" si="6">B5</f>
        <v>55797.15</v>
      </c>
      <c r="C39" s="8">
        <f t="shared" si="6"/>
        <v>88608.84</v>
      </c>
      <c r="D39" s="8">
        <f t="shared" si="6"/>
        <v>138283.79</v>
      </c>
      <c r="E39" s="8">
        <f t="shared" si="6"/>
        <v>34135.68</v>
      </c>
      <c r="F39" s="8">
        <f t="shared" si="6"/>
        <v>62222.92</v>
      </c>
      <c r="G39" s="8">
        <f t="shared" si="6"/>
        <v>96474.79</v>
      </c>
      <c r="H39" s="8">
        <f t="shared" si="6"/>
        <v>64632.58</v>
      </c>
      <c r="I39" s="8">
        <f t="shared" si="6"/>
        <v>141037.41</v>
      </c>
      <c r="J39" s="8">
        <f t="shared" si="6"/>
        <v>117767.3</v>
      </c>
      <c r="K39" s="8">
        <f t="shared" si="6"/>
        <v>102100.54</v>
      </c>
      <c r="L39" s="8">
        <f t="shared" si="6"/>
        <v>110245.46</v>
      </c>
      <c r="M39" s="8">
        <f t="shared" si="6"/>
        <v>28932.02</v>
      </c>
      <c r="N39" s="17">
        <f>SUM(B39:M39)</f>
        <v>1040238.4800000001</v>
      </c>
    </row>
    <row r="40" spans="1:14" x14ac:dyDescent="0.2">
      <c r="A40" s="4" t="s">
        <v>59</v>
      </c>
      <c r="B40" s="8">
        <f t="shared" ref="B40:M40" si="7">B6</f>
        <v>6731.88</v>
      </c>
      <c r="C40" s="8">
        <f t="shared" si="7"/>
        <v>4592.49</v>
      </c>
      <c r="D40" s="8">
        <f t="shared" si="7"/>
        <v>9451.23</v>
      </c>
      <c r="E40" s="8">
        <f t="shared" si="7"/>
        <v>12924.85</v>
      </c>
      <c r="F40" s="8">
        <f t="shared" si="7"/>
        <v>10071.870000000001</v>
      </c>
      <c r="G40" s="8">
        <f t="shared" si="7"/>
        <v>11323.76</v>
      </c>
      <c r="H40" s="8">
        <f t="shared" si="7"/>
        <v>9305.74</v>
      </c>
      <c r="I40" s="8">
        <f t="shared" si="7"/>
        <v>12141.54</v>
      </c>
      <c r="J40" s="8">
        <f t="shared" si="7"/>
        <v>9783.9599999999991</v>
      </c>
      <c r="K40" s="8">
        <f t="shared" si="7"/>
        <v>17240.189999999999</v>
      </c>
      <c r="L40" s="8">
        <f t="shared" si="7"/>
        <v>11305.84</v>
      </c>
      <c r="M40" s="8">
        <f t="shared" si="7"/>
        <v>3153.72</v>
      </c>
      <c r="N40" s="17">
        <f t="shared" ref="N40:N42" si="8">SUM(B40:M40)</f>
        <v>118027.07</v>
      </c>
    </row>
    <row r="41" spans="1:14" x14ac:dyDescent="0.2">
      <c r="A41" s="4" t="s">
        <v>60</v>
      </c>
      <c r="B41" s="8">
        <f t="shared" ref="B41:M41" si="9">B7</f>
        <v>1178565.21</v>
      </c>
      <c r="C41" s="8">
        <f t="shared" si="9"/>
        <v>1991809.6</v>
      </c>
      <c r="D41" s="8">
        <f t="shared" si="9"/>
        <v>2186914.62</v>
      </c>
      <c r="E41" s="8">
        <f t="shared" si="9"/>
        <v>1083331.3</v>
      </c>
      <c r="F41" s="8">
        <f t="shared" si="9"/>
        <v>1234151.23</v>
      </c>
      <c r="G41" s="8">
        <f t="shared" si="9"/>
        <v>2337219.56</v>
      </c>
      <c r="H41" s="8">
        <f t="shared" si="9"/>
        <v>1620919.24</v>
      </c>
      <c r="I41" s="8">
        <f t="shared" si="9"/>
        <v>3131334.08</v>
      </c>
      <c r="J41" s="8">
        <f t="shared" si="9"/>
        <v>2598968.2200000002</v>
      </c>
      <c r="K41" s="8">
        <f t="shared" si="9"/>
        <v>2263680.17</v>
      </c>
      <c r="L41" s="8">
        <f t="shared" si="9"/>
        <v>2247246.5699999998</v>
      </c>
      <c r="M41" s="8">
        <f t="shared" si="9"/>
        <v>775454.56</v>
      </c>
      <c r="N41" s="17">
        <f t="shared" si="8"/>
        <v>22649594.359999996</v>
      </c>
    </row>
    <row r="42" spans="1:14" x14ac:dyDescent="0.2">
      <c r="A42" s="4" t="s">
        <v>61</v>
      </c>
      <c r="B42" s="8">
        <f t="shared" ref="B42:M42" si="10">B8</f>
        <v>73.739999999999995</v>
      </c>
      <c r="C42" s="8">
        <f t="shared" si="10"/>
        <v>55.29</v>
      </c>
      <c r="D42" s="8">
        <f t="shared" si="10"/>
        <v>174.52</v>
      </c>
      <c r="E42" s="8">
        <f t="shared" si="10"/>
        <v>117.14</v>
      </c>
      <c r="F42" s="8">
        <f t="shared" si="10"/>
        <v>23.92</v>
      </c>
      <c r="G42" s="8">
        <f t="shared" si="10"/>
        <v>38.659999999999997</v>
      </c>
      <c r="H42" s="8">
        <f t="shared" si="10"/>
        <v>67.16</v>
      </c>
      <c r="I42" s="8">
        <f t="shared" si="10"/>
        <v>266.87</v>
      </c>
      <c r="J42" s="8">
        <f t="shared" si="10"/>
        <v>127.94</v>
      </c>
      <c r="K42" s="8">
        <f t="shared" si="10"/>
        <v>188.07</v>
      </c>
      <c r="L42" s="8">
        <f t="shared" si="10"/>
        <v>59.27</v>
      </c>
      <c r="M42" s="8">
        <f t="shared" si="10"/>
        <v>75.349999999999994</v>
      </c>
      <c r="N42" s="17">
        <f t="shared" si="8"/>
        <v>1267.9299999999998</v>
      </c>
    </row>
    <row r="43" spans="1:14" x14ac:dyDescent="0.2">
      <c r="A43" s="34" t="s">
        <v>62</v>
      </c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19">
        <f>SUM(N39:N42)</f>
        <v>23809127.839999996</v>
      </c>
    </row>
    <row r="44" spans="1:14" ht="13.5" thickBot="1" x14ac:dyDescent="0.25">
      <c r="A44" s="31" t="s">
        <v>63</v>
      </c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7">
        <f>N35</f>
        <v>146509.90000000002</v>
      </c>
    </row>
    <row r="45" spans="1:14" ht="13.5" thickBot="1" x14ac:dyDescent="0.25">
      <c r="A45" s="31" t="s">
        <v>64</v>
      </c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9">
        <f>N36-N43-N44</f>
        <v>13365093.459999992</v>
      </c>
    </row>
    <row r="46" spans="1:14" x14ac:dyDescent="0.2">
      <c r="A46" s="31" t="s">
        <v>65</v>
      </c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7">
        <f>N45*1.65%</f>
        <v>220524.04208999986</v>
      </c>
    </row>
    <row r="47" spans="1:14" x14ac:dyDescent="0.2">
      <c r="A47" s="31" t="s">
        <v>66</v>
      </c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7">
        <f>N45*7.6%</f>
        <v>1015747.1029599993</v>
      </c>
    </row>
    <row r="48" spans="1:14" ht="13.5" thickBot="1" x14ac:dyDescent="0.25"/>
    <row r="49" spans="1:14" ht="13.5" thickBot="1" x14ac:dyDescent="0.25">
      <c r="A49" s="31" t="s">
        <v>67</v>
      </c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25">
        <f>N30</f>
        <v>146509.90000000002</v>
      </c>
    </row>
    <row r="50" spans="1:14" x14ac:dyDescent="0.2">
      <c r="A50" s="31" t="s">
        <v>68</v>
      </c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7">
        <f>N31</f>
        <v>952.31435000000022</v>
      </c>
    </row>
    <row r="51" spans="1:14" x14ac:dyDescent="0.2">
      <c r="A51" s="31" t="s">
        <v>69</v>
      </c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7">
        <f>N32</f>
        <v>5860.3960000000006</v>
      </c>
    </row>
    <row r="52" spans="1:14" x14ac:dyDescent="0.2">
      <c r="A52" s="31" t="s">
        <v>70</v>
      </c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53" spans="1:14" x14ac:dyDescent="0.2">
      <c r="A53" s="34" t="s">
        <v>71</v>
      </c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19">
        <f>N46+N50</f>
        <v>221476.35643999986</v>
      </c>
    </row>
    <row r="54" spans="1:14" x14ac:dyDescent="0.2">
      <c r="A54" s="34" t="s">
        <v>72</v>
      </c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19">
        <f>N47+N51</f>
        <v>1021607.4989599993</v>
      </c>
    </row>
    <row r="56" spans="1:14" x14ac:dyDescent="0.2">
      <c r="A56" s="15" t="s">
        <v>73</v>
      </c>
      <c r="B56" s="15" t="s">
        <v>20</v>
      </c>
      <c r="C56" s="15" t="s">
        <v>21</v>
      </c>
      <c r="D56" s="15" t="s">
        <v>22</v>
      </c>
      <c r="E56" s="15" t="s">
        <v>23</v>
      </c>
      <c r="F56" s="15" t="s">
        <v>37</v>
      </c>
      <c r="G56" s="15" t="s">
        <v>24</v>
      </c>
      <c r="H56" s="15" t="s">
        <v>25</v>
      </c>
      <c r="I56" s="15" t="s">
        <v>26</v>
      </c>
      <c r="J56" s="15" t="s">
        <v>27</v>
      </c>
      <c r="K56" s="15" t="s">
        <v>28</v>
      </c>
      <c r="L56" s="15" t="s">
        <v>29</v>
      </c>
      <c r="M56" s="15" t="s">
        <v>111</v>
      </c>
      <c r="N56" s="16" t="s">
        <v>17</v>
      </c>
    </row>
    <row r="57" spans="1:14" x14ac:dyDescent="0.2">
      <c r="A57" s="4" t="s">
        <v>74</v>
      </c>
      <c r="B57" s="5">
        <v>347715.33</v>
      </c>
      <c r="C57" s="5">
        <v>500108.02</v>
      </c>
      <c r="D57" s="5">
        <v>685164.38</v>
      </c>
      <c r="E57" s="5">
        <v>340813.58</v>
      </c>
      <c r="F57" s="5">
        <v>384404.83</v>
      </c>
      <c r="G57" s="5">
        <v>868554.62</v>
      </c>
      <c r="H57" s="5">
        <v>446386.28</v>
      </c>
      <c r="I57" s="5">
        <v>1058080.47</v>
      </c>
      <c r="J57" s="5">
        <v>929110.02</v>
      </c>
      <c r="K57" s="5">
        <v>767776.09</v>
      </c>
      <c r="L57" s="5">
        <v>1547126.02</v>
      </c>
      <c r="M57" s="5">
        <v>229872.8</v>
      </c>
      <c r="N57" s="5">
        <f>SUM(B57:M57)</f>
        <v>8105112.4399999985</v>
      </c>
    </row>
    <row r="58" spans="1:14" x14ac:dyDescent="0.2">
      <c r="A58" s="4" t="s">
        <v>75</v>
      </c>
      <c r="B58" s="5">
        <v>19495.04</v>
      </c>
      <c r="C58" s="5">
        <v>28400.400000000001</v>
      </c>
      <c r="D58" s="5">
        <v>31294.04</v>
      </c>
      <c r="E58" s="5">
        <v>22723.45</v>
      </c>
      <c r="F58" s="5">
        <v>38980.49</v>
      </c>
      <c r="G58" s="5">
        <v>39453.089999999997</v>
      </c>
      <c r="H58" s="5">
        <v>23525.22</v>
      </c>
      <c r="I58" s="5">
        <v>43211.99</v>
      </c>
      <c r="J58" s="5">
        <v>39717.81</v>
      </c>
      <c r="K58" s="5">
        <v>42207.44</v>
      </c>
      <c r="L58" s="5">
        <v>44032.97</v>
      </c>
      <c r="M58" s="5">
        <v>21043.85</v>
      </c>
      <c r="N58" s="5">
        <f t="shared" ref="N58:N62" si="11">SUM(B58:M58)</f>
        <v>394085.79000000004</v>
      </c>
    </row>
    <row r="59" spans="1:14" x14ac:dyDescent="0.2">
      <c r="A59" s="4" t="s">
        <v>76</v>
      </c>
      <c r="B59" s="5"/>
      <c r="C59" s="5"/>
      <c r="D59" s="5">
        <v>97830.2</v>
      </c>
      <c r="E59" s="5">
        <v>27500</v>
      </c>
      <c r="F59" s="5">
        <v>47034.76</v>
      </c>
      <c r="G59" s="5">
        <v>43000</v>
      </c>
      <c r="H59" s="5">
        <v>26038.92</v>
      </c>
      <c r="I59" s="5">
        <v>87708.5</v>
      </c>
      <c r="J59" s="5">
        <v>68885.59</v>
      </c>
      <c r="K59" s="5">
        <v>81952.03</v>
      </c>
      <c r="L59" s="5">
        <v>55325.15</v>
      </c>
      <c r="M59" s="5">
        <v>23495.58</v>
      </c>
      <c r="N59" s="5">
        <f t="shared" si="11"/>
        <v>558770.73</v>
      </c>
    </row>
    <row r="60" spans="1:14" x14ac:dyDescent="0.2">
      <c r="A60" s="4" t="s">
        <v>77</v>
      </c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>
        <f t="shared" si="11"/>
        <v>0</v>
      </c>
    </row>
    <row r="61" spans="1:14" x14ac:dyDescent="0.2">
      <c r="A61" s="4" t="s">
        <v>78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>
        <f t="shared" si="11"/>
        <v>0</v>
      </c>
    </row>
    <row r="62" spans="1:14" x14ac:dyDescent="0.2">
      <c r="A62" s="4" t="s">
        <v>79</v>
      </c>
      <c r="B62" s="5"/>
      <c r="C62" s="5"/>
      <c r="D62" s="5">
        <v>59.94</v>
      </c>
      <c r="E62" s="5"/>
      <c r="F62" s="5">
        <v>60.86</v>
      </c>
      <c r="G62" s="5">
        <v>12781.7</v>
      </c>
      <c r="H62" s="5"/>
      <c r="I62" s="5"/>
      <c r="J62" s="5"/>
      <c r="K62" s="5"/>
      <c r="L62" s="5"/>
      <c r="M62" s="5"/>
      <c r="N62" s="5">
        <f t="shared" si="11"/>
        <v>12902.5</v>
      </c>
    </row>
    <row r="63" spans="1:14" x14ac:dyDescent="0.2">
      <c r="A63" s="31" t="s">
        <v>80</v>
      </c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7">
        <f>SUM(N57:N62)</f>
        <v>9070871.459999999</v>
      </c>
    </row>
    <row r="64" spans="1:14" x14ac:dyDescent="0.2">
      <c r="A64" s="34" t="s">
        <v>81</v>
      </c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20">
        <f>N63*1.65%</f>
        <v>149669.37909</v>
      </c>
    </row>
    <row r="65" spans="1:14" x14ac:dyDescent="0.2">
      <c r="A65" s="34" t="s">
        <v>82</v>
      </c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20">
        <f>N63*7.6%</f>
        <v>689386.23095999996</v>
      </c>
    </row>
    <row r="66" spans="1:14" x14ac:dyDescent="0.2">
      <c r="N66" s="9"/>
    </row>
    <row r="67" spans="1:14" x14ac:dyDescent="0.2">
      <c r="A67" s="15"/>
      <c r="B67" s="15" t="s">
        <v>20</v>
      </c>
      <c r="C67" s="15" t="s">
        <v>21</v>
      </c>
      <c r="D67" s="15" t="s">
        <v>22</v>
      </c>
      <c r="E67" s="15" t="s">
        <v>23</v>
      </c>
      <c r="F67" s="15" t="s">
        <v>37</v>
      </c>
      <c r="G67" s="15" t="s">
        <v>24</v>
      </c>
      <c r="H67" s="15" t="s">
        <v>25</v>
      </c>
      <c r="I67" s="15" t="s">
        <v>26</v>
      </c>
      <c r="J67" s="15" t="s">
        <v>27</v>
      </c>
      <c r="K67" s="15" t="s">
        <v>28</v>
      </c>
      <c r="L67" s="15" t="s">
        <v>29</v>
      </c>
      <c r="M67" s="15" t="s">
        <v>111</v>
      </c>
      <c r="N67" s="16" t="s">
        <v>17</v>
      </c>
    </row>
    <row r="68" spans="1:14" x14ac:dyDescent="0.2">
      <c r="A68" s="4" t="s">
        <v>2</v>
      </c>
      <c r="B68" s="5">
        <v>169837.71</v>
      </c>
      <c r="C68" s="5">
        <v>347973.62</v>
      </c>
      <c r="D68" s="5">
        <v>403841.32</v>
      </c>
      <c r="E68" s="5">
        <v>197749.35</v>
      </c>
      <c r="F68" s="5">
        <v>279714.5</v>
      </c>
      <c r="G68" s="5">
        <v>376572.63</v>
      </c>
      <c r="H68" s="5">
        <v>336247.14</v>
      </c>
      <c r="I68" s="5">
        <v>481616.14</v>
      </c>
      <c r="J68" s="5">
        <v>415370.53</v>
      </c>
      <c r="K68" s="5">
        <v>406202.41</v>
      </c>
      <c r="L68" s="5">
        <v>533399.31999999995</v>
      </c>
      <c r="M68" s="5">
        <v>121014.63</v>
      </c>
      <c r="N68" s="5">
        <f>SUM(B68:M68)</f>
        <v>4069539.3000000003</v>
      </c>
    </row>
    <row r="69" spans="1:14" x14ac:dyDescent="0.2">
      <c r="A69" s="4" t="s">
        <v>3</v>
      </c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>
        <f t="shared" ref="N69:N74" si="12">SUM(B69:M69)</f>
        <v>0</v>
      </c>
    </row>
    <row r="70" spans="1:14" x14ac:dyDescent="0.2">
      <c r="A70" s="4" t="s">
        <v>4</v>
      </c>
      <c r="B70" s="5">
        <v>39.6</v>
      </c>
      <c r="C70" s="5">
        <v>39.6</v>
      </c>
      <c r="D70" s="5">
        <v>39.6</v>
      </c>
      <c r="E70" s="5">
        <v>118.8</v>
      </c>
      <c r="F70" s="5"/>
      <c r="G70" s="5"/>
      <c r="H70" s="5"/>
      <c r="I70" s="5">
        <v>39.6</v>
      </c>
      <c r="J70" s="5"/>
      <c r="K70" s="5">
        <v>118.8</v>
      </c>
      <c r="L70" s="5"/>
      <c r="M70" s="5">
        <v>79.2</v>
      </c>
      <c r="N70" s="5">
        <f t="shared" si="12"/>
        <v>475.20000000000005</v>
      </c>
    </row>
    <row r="71" spans="1:14" x14ac:dyDescent="0.2">
      <c r="A71" s="4" t="s">
        <v>5</v>
      </c>
      <c r="B71" s="5">
        <v>577712.12</v>
      </c>
      <c r="C71" s="5">
        <v>979352.02</v>
      </c>
      <c r="D71" s="5">
        <v>1045804.04</v>
      </c>
      <c r="E71" s="5">
        <v>476743.61</v>
      </c>
      <c r="F71" s="5">
        <v>587136.78</v>
      </c>
      <c r="G71" s="5">
        <v>1249393.6299999999</v>
      </c>
      <c r="H71" s="5">
        <v>804545.92</v>
      </c>
      <c r="I71" s="5">
        <v>1664927.88</v>
      </c>
      <c r="J71" s="5">
        <v>1257309.6200000001</v>
      </c>
      <c r="K71" s="5">
        <v>3451651.18</v>
      </c>
      <c r="L71" s="5">
        <v>1086190.3</v>
      </c>
      <c r="M71" s="5">
        <v>459590.23</v>
      </c>
      <c r="N71" s="5">
        <f t="shared" si="12"/>
        <v>13640357.330000002</v>
      </c>
    </row>
    <row r="72" spans="1:14" x14ac:dyDescent="0.2">
      <c r="A72" s="4" t="s">
        <v>6</v>
      </c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>
        <f t="shared" si="12"/>
        <v>0</v>
      </c>
    </row>
    <row r="73" spans="1:14" x14ac:dyDescent="0.2">
      <c r="A73" s="4" t="s">
        <v>7</v>
      </c>
      <c r="B73" s="5">
        <v>1656.62</v>
      </c>
      <c r="C73" s="5">
        <v>12.75</v>
      </c>
      <c r="D73" s="5">
        <v>2259.61</v>
      </c>
      <c r="E73" s="5">
        <v>1344</v>
      </c>
      <c r="F73" s="5">
        <v>2736.3</v>
      </c>
      <c r="G73" s="5">
        <v>3287.18</v>
      </c>
      <c r="H73" s="5">
        <v>2576.19</v>
      </c>
      <c r="I73" s="5">
        <v>3084.73</v>
      </c>
      <c r="J73" s="5">
        <v>98.5</v>
      </c>
      <c r="K73" s="5">
        <v>4001.96</v>
      </c>
      <c r="L73" s="5">
        <v>9.25</v>
      </c>
      <c r="M73" s="5">
        <v>942.32</v>
      </c>
      <c r="N73" s="5">
        <f t="shared" si="12"/>
        <v>22009.41</v>
      </c>
    </row>
    <row r="74" spans="1:14" x14ac:dyDescent="0.2">
      <c r="A74" s="4" t="s">
        <v>8</v>
      </c>
      <c r="B74" s="5">
        <v>6917.34</v>
      </c>
      <c r="C74" s="5">
        <v>9468.33</v>
      </c>
      <c r="D74" s="5">
        <v>10365.5</v>
      </c>
      <c r="E74" s="5">
        <v>7252.44</v>
      </c>
      <c r="F74" s="5">
        <v>7346.87</v>
      </c>
      <c r="G74" s="5">
        <v>16292.32</v>
      </c>
      <c r="H74" s="5">
        <v>9432.81</v>
      </c>
      <c r="I74" s="5">
        <v>9195.35</v>
      </c>
      <c r="J74" s="5">
        <v>12733.36</v>
      </c>
      <c r="K74" s="5">
        <v>8844.7800000000007</v>
      </c>
      <c r="L74" s="5">
        <v>10592.67</v>
      </c>
      <c r="M74" s="5">
        <v>6509.77</v>
      </c>
      <c r="N74" s="5">
        <f t="shared" si="12"/>
        <v>114951.54000000001</v>
      </c>
    </row>
    <row r="75" spans="1:14" x14ac:dyDescent="0.2">
      <c r="A75" s="18" t="s">
        <v>83</v>
      </c>
      <c r="B75" s="22">
        <f>SUM(B57:B58,B68:B74)</f>
        <v>1123373.76</v>
      </c>
      <c r="C75" s="22">
        <f t="shared" ref="C75:M75" si="13">SUM(C57:C58,C68:C74)</f>
        <v>1865354.7400000002</v>
      </c>
      <c r="D75" s="22">
        <f t="shared" si="13"/>
        <v>2178768.4899999998</v>
      </c>
      <c r="E75" s="22">
        <f t="shared" si="13"/>
        <v>1046745.23</v>
      </c>
      <c r="F75" s="22">
        <f t="shared" si="13"/>
        <v>1300319.7700000003</v>
      </c>
      <c r="G75" s="22">
        <f t="shared" si="13"/>
        <v>2553553.4699999997</v>
      </c>
      <c r="H75" s="22">
        <f t="shared" si="13"/>
        <v>1622713.56</v>
      </c>
      <c r="I75" s="22">
        <f t="shared" si="13"/>
        <v>3260156.16</v>
      </c>
      <c r="J75" s="22">
        <f>SUM(J57:J58,J68:J74)</f>
        <v>2654339.8400000003</v>
      </c>
      <c r="K75" s="22">
        <f t="shared" si="13"/>
        <v>4680802.66</v>
      </c>
      <c r="L75" s="22">
        <f t="shared" si="13"/>
        <v>3221350.5300000003</v>
      </c>
      <c r="M75" s="22">
        <f t="shared" si="13"/>
        <v>839052.79999999993</v>
      </c>
      <c r="N75" s="19">
        <f>SUM(N57:N62,N68:N74)</f>
        <v>26918204.239999998</v>
      </c>
    </row>
    <row r="77" spans="1:14" x14ac:dyDescent="0.2">
      <c r="A77" s="15" t="s">
        <v>84</v>
      </c>
      <c r="B77" s="15" t="s">
        <v>20</v>
      </c>
      <c r="C77" s="15" t="s">
        <v>21</v>
      </c>
      <c r="D77" s="15" t="s">
        <v>22</v>
      </c>
      <c r="E77" s="15" t="s">
        <v>23</v>
      </c>
      <c r="F77" s="15" t="s">
        <v>37</v>
      </c>
      <c r="G77" s="15" t="s">
        <v>24</v>
      </c>
      <c r="H77" s="15" t="s">
        <v>25</v>
      </c>
      <c r="I77" s="15" t="s">
        <v>26</v>
      </c>
      <c r="J77" s="15" t="s">
        <v>27</v>
      </c>
      <c r="K77" s="15" t="s">
        <v>28</v>
      </c>
      <c r="L77" s="15" t="s">
        <v>29</v>
      </c>
      <c r="M77" s="15" t="s">
        <v>111</v>
      </c>
      <c r="N77" s="16" t="s">
        <v>17</v>
      </c>
    </row>
    <row r="78" spans="1:14" x14ac:dyDescent="0.2">
      <c r="A78" s="4" t="s">
        <v>85</v>
      </c>
      <c r="B78" s="5">
        <v>3219.11</v>
      </c>
      <c r="C78" s="5">
        <v>4137.32</v>
      </c>
      <c r="D78" s="5">
        <v>7025.18</v>
      </c>
      <c r="E78" s="5">
        <v>6866.11</v>
      </c>
      <c r="F78" s="5">
        <v>6066.33</v>
      </c>
      <c r="G78" s="5">
        <v>8003.63</v>
      </c>
      <c r="H78" s="5">
        <v>5474.24</v>
      </c>
      <c r="I78" s="5">
        <v>8844.7900000000009</v>
      </c>
      <c r="J78" s="5">
        <v>8216.16</v>
      </c>
      <c r="K78" s="5">
        <v>10468.969999999999</v>
      </c>
      <c r="L78" s="5">
        <v>4812.45</v>
      </c>
      <c r="M78" s="5">
        <v>7677.42</v>
      </c>
      <c r="N78" s="5">
        <f>SUM(B78:M78)</f>
        <v>80811.709999999992</v>
      </c>
    </row>
    <row r="79" spans="1:14" ht="13.5" thickBot="1" x14ac:dyDescent="0.25">
      <c r="A79" s="4" t="s">
        <v>86</v>
      </c>
      <c r="B79" s="5">
        <v>3536.04</v>
      </c>
      <c r="C79" s="5">
        <v>2812.83</v>
      </c>
      <c r="D79" s="5">
        <v>1228.98</v>
      </c>
      <c r="E79" s="5">
        <v>1281.32</v>
      </c>
      <c r="F79" s="5">
        <v>3442.33</v>
      </c>
      <c r="G79" s="5">
        <v>594.92999999999995</v>
      </c>
      <c r="H79" s="5">
        <v>3767.12</v>
      </c>
      <c r="I79" s="5">
        <v>1094.54</v>
      </c>
      <c r="J79" s="5">
        <v>4439.6099999999997</v>
      </c>
      <c r="K79" s="5">
        <v>2586.33</v>
      </c>
      <c r="L79" s="5">
        <v>2229.75</v>
      </c>
      <c r="M79" s="5">
        <v>4080.84</v>
      </c>
      <c r="N79" s="5">
        <f>SUM(B79:M79)</f>
        <v>31094.62</v>
      </c>
    </row>
    <row r="80" spans="1:14" ht="13.5" thickBot="1" x14ac:dyDescent="0.25">
      <c r="A80" s="35" t="s">
        <v>87</v>
      </c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24">
        <f>SUM(N78:N79)</f>
        <v>111906.32999999999</v>
      </c>
    </row>
    <row r="81" spans="1:15" x14ac:dyDescent="0.2">
      <c r="A81" s="34" t="s">
        <v>81</v>
      </c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19">
        <f>N80*1.65%</f>
        <v>1846.4544449999999</v>
      </c>
    </row>
    <row r="82" spans="1:15" x14ac:dyDescent="0.2">
      <c r="A82" s="34" t="s">
        <v>82</v>
      </c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19">
        <f>N80*7.6%</f>
        <v>8504.8810799999992</v>
      </c>
    </row>
    <row r="83" spans="1:15" x14ac:dyDescent="0.2">
      <c r="B83" s="2">
        <f>B78+B79</f>
        <v>6755.15</v>
      </c>
      <c r="C83" s="2">
        <f t="shared" ref="C83:M83" si="14">C78+C79</f>
        <v>6950.15</v>
      </c>
      <c r="D83" s="2">
        <f t="shared" si="14"/>
        <v>8254.16</v>
      </c>
      <c r="E83" s="2">
        <f t="shared" si="14"/>
        <v>8147.4299999999994</v>
      </c>
      <c r="F83" s="2">
        <f t="shared" si="14"/>
        <v>9508.66</v>
      </c>
      <c r="G83" s="2">
        <f t="shared" si="14"/>
        <v>8598.56</v>
      </c>
      <c r="H83" s="2">
        <f t="shared" si="14"/>
        <v>9241.36</v>
      </c>
      <c r="I83" s="2">
        <f t="shared" si="14"/>
        <v>9939.3300000000017</v>
      </c>
      <c r="J83" s="2">
        <f t="shared" si="14"/>
        <v>12655.77</v>
      </c>
      <c r="K83" s="2">
        <f t="shared" si="14"/>
        <v>13055.3</v>
      </c>
      <c r="L83" s="2">
        <f t="shared" si="14"/>
        <v>7042.2</v>
      </c>
      <c r="M83" s="2">
        <f t="shared" si="14"/>
        <v>11758.26</v>
      </c>
    </row>
    <row r="84" spans="1:15" x14ac:dyDescent="0.2">
      <c r="A84" s="36" t="s">
        <v>88</v>
      </c>
      <c r="B84" s="36"/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</row>
    <row r="85" spans="1:15" x14ac:dyDescent="0.2">
      <c r="A85" s="31" t="s">
        <v>89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7">
        <f>N64</f>
        <v>149669.37909</v>
      </c>
    </row>
    <row r="86" spans="1:15" x14ac:dyDescent="0.2">
      <c r="A86" s="31" t="s">
        <v>90</v>
      </c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7">
        <f>N65</f>
        <v>689386.23095999996</v>
      </c>
    </row>
    <row r="87" spans="1:15" x14ac:dyDescent="0.2">
      <c r="A87" s="34" t="s">
        <v>91</v>
      </c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19">
        <f>SUM(N85:N86)</f>
        <v>839055.61005000002</v>
      </c>
    </row>
    <row r="89" spans="1:15" x14ac:dyDescent="0.2">
      <c r="A89" s="36" t="s">
        <v>92</v>
      </c>
      <c r="B89" s="36"/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</row>
    <row r="90" spans="1:15" x14ac:dyDescent="0.2">
      <c r="A90" s="31" t="s">
        <v>93</v>
      </c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7">
        <v>0</v>
      </c>
    </row>
    <row r="91" spans="1:15" x14ac:dyDescent="0.2">
      <c r="A91" s="31" t="s">
        <v>94</v>
      </c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7">
        <v>0</v>
      </c>
    </row>
    <row r="92" spans="1:15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</row>
    <row r="93" spans="1:15" x14ac:dyDescent="0.2">
      <c r="A93" s="31" t="s">
        <v>95</v>
      </c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7">
        <f>N81</f>
        <v>1846.4544449999999</v>
      </c>
      <c r="O93" s="14">
        <f>1846.04-N93</f>
        <v>-0.41444499999988693</v>
      </c>
    </row>
    <row r="94" spans="1:15" x14ac:dyDescent="0.2">
      <c r="A94" s="31" t="s">
        <v>96</v>
      </c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7">
        <f>N82</f>
        <v>8504.8810799999992</v>
      </c>
      <c r="O94" s="14">
        <f>8505.33-N94</f>
        <v>0.44892000000072585</v>
      </c>
    </row>
    <row r="95" spans="1:15" x14ac:dyDescent="0.2">
      <c r="A95" s="35" t="s">
        <v>97</v>
      </c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21">
        <f>SUM(N93:N94)</f>
        <v>10351.335524999999</v>
      </c>
    </row>
    <row r="97" spans="1:14" x14ac:dyDescent="0.2">
      <c r="A97" s="36" t="s">
        <v>98</v>
      </c>
      <c r="B97" s="36"/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</row>
    <row r="98" spans="1:14" x14ac:dyDescent="0.2">
      <c r="A98" s="35" t="s">
        <v>99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21">
        <f>N85-N93</f>
        <v>147822.92464499999</v>
      </c>
    </row>
    <row r="99" spans="1:14" x14ac:dyDescent="0.2">
      <c r="A99" s="35" t="s">
        <v>100</v>
      </c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21">
        <f>N86-N94</f>
        <v>680881.34987999999</v>
      </c>
    </row>
    <row r="101" spans="1:14" x14ac:dyDescent="0.2">
      <c r="A101" s="36" t="s">
        <v>101</v>
      </c>
      <c r="B101" s="36"/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</row>
    <row r="102" spans="1:14" x14ac:dyDescent="0.2">
      <c r="A102" s="23"/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15" t="s">
        <v>99</v>
      </c>
      <c r="N102" s="16" t="s">
        <v>100</v>
      </c>
    </row>
    <row r="103" spans="1:14" x14ac:dyDescent="0.2">
      <c r="A103" s="31" t="s">
        <v>102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2">
        <f>N53</f>
        <v>221476.35643999986</v>
      </c>
      <c r="N103" s="5">
        <f>N54</f>
        <v>1021607.4989599993</v>
      </c>
    </row>
    <row r="104" spans="1:14" x14ac:dyDescent="0.2">
      <c r="A104" s="31" t="s">
        <v>103</v>
      </c>
      <c r="B104" s="31"/>
      <c r="C104" s="31"/>
      <c r="D104" s="31"/>
      <c r="E104" s="31"/>
      <c r="F104" s="31"/>
      <c r="G104" s="31"/>
      <c r="H104" s="31"/>
      <c r="I104" s="31"/>
      <c r="J104" s="31"/>
      <c r="K104" s="31"/>
      <c r="L104" s="31"/>
      <c r="M104" s="2">
        <f>N98</f>
        <v>147822.92464499999</v>
      </c>
      <c r="N104" s="5">
        <f>N99</f>
        <v>680881.34987999999</v>
      </c>
    </row>
    <row r="105" spans="1:14" x14ac:dyDescent="0.2">
      <c r="A105" s="31" t="s">
        <v>104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2">
        <f>N90</f>
        <v>0</v>
      </c>
      <c r="N105" s="5">
        <f>N91</f>
        <v>0</v>
      </c>
    </row>
    <row r="106" spans="1:14" x14ac:dyDescent="0.2">
      <c r="A106" s="34" t="s">
        <v>105</v>
      </c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18">
        <f>M103-M104-M105</f>
        <v>73653.431794999866</v>
      </c>
      <c r="N106" s="19">
        <f>N103-N104-N105</f>
        <v>340726.1490799993</v>
      </c>
    </row>
    <row r="108" spans="1:14" x14ac:dyDescent="0.2">
      <c r="A108" s="36" t="s">
        <v>106</v>
      </c>
      <c r="B108" s="36"/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</row>
    <row r="109" spans="1:14" x14ac:dyDescent="0.2">
      <c r="A109" s="23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15" t="s">
        <v>99</v>
      </c>
      <c r="N109" s="16" t="s">
        <v>100</v>
      </c>
    </row>
    <row r="110" spans="1:14" x14ac:dyDescent="0.2">
      <c r="A110" s="31" t="s">
        <v>102</v>
      </c>
      <c r="B110" s="31"/>
      <c r="C110" s="31"/>
      <c r="D110" s="31"/>
      <c r="E110" s="31"/>
      <c r="F110" s="31"/>
      <c r="G110" s="31"/>
      <c r="H110" s="31"/>
      <c r="I110" s="31"/>
      <c r="J110" s="31"/>
      <c r="K110" s="31"/>
      <c r="L110" s="31"/>
      <c r="M110" s="2">
        <v>221476.35</v>
      </c>
      <c r="N110" s="5">
        <v>1021607.5</v>
      </c>
    </row>
    <row r="111" spans="1:14" x14ac:dyDescent="0.2">
      <c r="A111" s="31" t="s">
        <v>103</v>
      </c>
      <c r="B111" s="31"/>
      <c r="C111" s="31"/>
      <c r="D111" s="31"/>
      <c r="E111" s="31"/>
      <c r="F111" s="31"/>
      <c r="G111" s="31"/>
      <c r="H111" s="31"/>
      <c r="I111" s="31"/>
      <c r="J111" s="31"/>
      <c r="K111" s="31"/>
      <c r="L111" s="31"/>
      <c r="M111" s="2">
        <v>147823.29999999999</v>
      </c>
      <c r="N111" s="5">
        <v>680880.94</v>
      </c>
    </row>
    <row r="112" spans="1:14" x14ac:dyDescent="0.2">
      <c r="A112" s="31" t="s">
        <v>107</v>
      </c>
      <c r="B112" s="31"/>
      <c r="C112" s="31"/>
      <c r="D112" s="31"/>
      <c r="E112" s="31"/>
      <c r="F112" s="31"/>
      <c r="G112" s="31"/>
      <c r="H112" s="31"/>
      <c r="I112" s="31"/>
      <c r="J112" s="31"/>
      <c r="K112" s="31"/>
      <c r="L112" s="31"/>
      <c r="M112" s="5">
        <v>0</v>
      </c>
      <c r="N112" s="9">
        <v>0</v>
      </c>
    </row>
    <row r="113" spans="1:14" x14ac:dyDescent="0.2">
      <c r="A113" s="34" t="s">
        <v>108</v>
      </c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18">
        <f>M110-M111-M112</f>
        <v>73653.050000000017</v>
      </c>
      <c r="N113" s="19">
        <f>N110-N111-N112</f>
        <v>340726.56000000006</v>
      </c>
    </row>
    <row r="116" spans="1:14" x14ac:dyDescent="0.2">
      <c r="M116" s="38" t="s">
        <v>0</v>
      </c>
      <c r="N116" s="38"/>
    </row>
    <row r="117" spans="1:14" x14ac:dyDescent="0.2">
      <c r="M117" s="10" t="s">
        <v>109</v>
      </c>
      <c r="N117" s="11" t="s">
        <v>110</v>
      </c>
    </row>
    <row r="118" spans="1:14" x14ac:dyDescent="0.2">
      <c r="M118" s="12">
        <f>M106-M113</f>
        <v>0.38179499984835275</v>
      </c>
      <c r="N118" s="13">
        <f>N106-N113</f>
        <v>-0.41092000075150281</v>
      </c>
    </row>
  </sheetData>
  <mergeCells count="51">
    <mergeCell ref="A112:L112"/>
    <mergeCell ref="A113:L113"/>
    <mergeCell ref="M116:N116"/>
    <mergeCell ref="A104:L104"/>
    <mergeCell ref="A105:L105"/>
    <mergeCell ref="A106:L106"/>
    <mergeCell ref="A108:N108"/>
    <mergeCell ref="A110:L110"/>
    <mergeCell ref="A111:L111"/>
    <mergeCell ref="A103:L103"/>
    <mergeCell ref="A89:N89"/>
    <mergeCell ref="A90:M90"/>
    <mergeCell ref="A91:M91"/>
    <mergeCell ref="A92:M92"/>
    <mergeCell ref="A93:M93"/>
    <mergeCell ref="A94:M94"/>
    <mergeCell ref="A95:M95"/>
    <mergeCell ref="A97:N97"/>
    <mergeCell ref="A98:M98"/>
    <mergeCell ref="A99:M99"/>
    <mergeCell ref="A101:N101"/>
    <mergeCell ref="A87:M87"/>
    <mergeCell ref="A53:M53"/>
    <mergeCell ref="A54:M54"/>
    <mergeCell ref="A63:M63"/>
    <mergeCell ref="A64:M64"/>
    <mergeCell ref="A65:M65"/>
    <mergeCell ref="A80:M80"/>
    <mergeCell ref="A81:M81"/>
    <mergeCell ref="A82:M82"/>
    <mergeCell ref="A84:N84"/>
    <mergeCell ref="A85:M85"/>
    <mergeCell ref="A86:M86"/>
    <mergeCell ref="A52:N52"/>
    <mergeCell ref="A34:M34"/>
    <mergeCell ref="A35:M35"/>
    <mergeCell ref="A36:M36"/>
    <mergeCell ref="A43:M43"/>
    <mergeCell ref="A44:M44"/>
    <mergeCell ref="A45:M45"/>
    <mergeCell ref="A46:M46"/>
    <mergeCell ref="A47:M47"/>
    <mergeCell ref="A49:M49"/>
    <mergeCell ref="A50:M50"/>
    <mergeCell ref="A51:M51"/>
    <mergeCell ref="A33:M33"/>
    <mergeCell ref="A1:N1"/>
    <mergeCell ref="A21:M21"/>
    <mergeCell ref="A22:M22"/>
    <mergeCell ref="A31:M31"/>
    <mergeCell ref="A32:M3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9"/>
  <dimension ref="A1:B15"/>
  <sheetViews>
    <sheetView workbookViewId="0">
      <selection activeCell="B9" sqref="B9"/>
    </sheetView>
  </sheetViews>
  <sheetFormatPr defaultRowHeight="15" x14ac:dyDescent="0.25"/>
  <cols>
    <col min="1" max="1" width="17.7109375" customWidth="1"/>
    <col min="2" max="2" width="13.28515625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9</v>
      </c>
      <c r="B2" s="1" t="e">
        <f>#REF!</f>
        <v>#REF!</v>
      </c>
    </row>
    <row r="3" spans="1:2" x14ac:dyDescent="0.25">
      <c r="A3" t="s">
        <v>10</v>
      </c>
      <c r="B3" s="1" t="e">
        <f>#REF!</f>
        <v>#REF!</v>
      </c>
    </row>
    <row r="4" spans="1:2" x14ac:dyDescent="0.25">
      <c r="A4" t="s">
        <v>11</v>
      </c>
      <c r="B4" s="1" t="e">
        <f>#REF!</f>
        <v>#REF!</v>
      </c>
    </row>
    <row r="5" spans="1:2" x14ac:dyDescent="0.25">
      <c r="A5" t="s">
        <v>12</v>
      </c>
      <c r="B5" s="1" t="e">
        <f>#REF!</f>
        <v>#REF!</v>
      </c>
    </row>
    <row r="6" spans="1:2" x14ac:dyDescent="0.25">
      <c r="A6" t="s">
        <v>13</v>
      </c>
      <c r="B6" s="1" t="e">
        <f>#REF!</f>
        <v>#REF!</v>
      </c>
    </row>
    <row r="7" spans="1:2" x14ac:dyDescent="0.25">
      <c r="A7" t="s">
        <v>14</v>
      </c>
      <c r="B7" s="1" t="e">
        <f>#REF!</f>
        <v>#REF!</v>
      </c>
    </row>
    <row r="8" spans="1:2" x14ac:dyDescent="0.25">
      <c r="A8" t="s">
        <v>1</v>
      </c>
      <c r="B8" s="1" t="e">
        <f>#REF!+#REF!</f>
        <v>#REF!</v>
      </c>
    </row>
    <row r="9" spans="1:2" x14ac:dyDescent="0.25">
      <c r="A9" t="s">
        <v>2</v>
      </c>
      <c r="B9" s="1" t="e">
        <f>#REF!</f>
        <v>#REF!</v>
      </c>
    </row>
    <row r="10" spans="1:2" x14ac:dyDescent="0.25">
      <c r="A10" t="s">
        <v>3</v>
      </c>
      <c r="B10" s="1" t="e">
        <f>#REF!</f>
        <v>#REF!</v>
      </c>
    </row>
    <row r="11" spans="1:2" x14ac:dyDescent="0.25">
      <c r="A11" t="s">
        <v>4</v>
      </c>
      <c r="B11" s="1" t="e">
        <f>#REF!</f>
        <v>#REF!</v>
      </c>
    </row>
    <row r="12" spans="1:2" x14ac:dyDescent="0.25">
      <c r="A12" t="s">
        <v>5</v>
      </c>
      <c r="B12" s="1" t="e">
        <f>#REF!</f>
        <v>#REF!</v>
      </c>
    </row>
    <row r="13" spans="1:2" x14ac:dyDescent="0.25">
      <c r="A13" t="s">
        <v>6</v>
      </c>
      <c r="B13" s="1" t="e">
        <f>#REF!</f>
        <v>#REF!</v>
      </c>
    </row>
    <row r="14" spans="1:2" x14ac:dyDescent="0.25">
      <c r="A14" t="s">
        <v>7</v>
      </c>
      <c r="B14" s="1" t="e">
        <f>#REF!</f>
        <v>#REF!</v>
      </c>
    </row>
    <row r="15" spans="1:2" x14ac:dyDescent="0.25">
      <c r="A15" t="s">
        <v>8</v>
      </c>
      <c r="B15" s="1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APURAÇÃO PIS E COFINS</vt:lpstr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Rastelli</dc:creator>
  <cp:lastModifiedBy>Natalia Brambilla</cp:lastModifiedBy>
  <cp:lastPrinted>2023-01-09T16:01:26Z</cp:lastPrinted>
  <dcterms:created xsi:type="dcterms:W3CDTF">2017-10-17T12:40:51Z</dcterms:created>
  <dcterms:modified xsi:type="dcterms:W3CDTF">2024-12-19T17:49:08Z</dcterms:modified>
</cp:coreProperties>
</file>